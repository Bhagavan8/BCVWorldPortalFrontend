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ba056f373c4c52/Desktop/BCVWorld_Mega_Scraper/"/>
    </mc:Choice>
  </mc:AlternateContent>
  <xr:revisionPtr revIDLastSave="2" documentId="11_657A456C19B41B21EA3034DF65F64F9B257222D3" xr6:coauthVersionLast="47" xr6:coauthVersionMax="47" xr10:uidLastSave="{2A9B5A7C-559E-4D7B-989A-393326635674}"/>
  <bookViews>
    <workbookView xWindow="-108" yWindow="-108" windowWidth="23256" windowHeight="12456" xr2:uid="{00000000-000D-0000-FFFF-FFFF00000000}"/>
  </bookViews>
  <sheets>
    <sheet name="📋 Dashboard" sheetId="1" r:id="rId1"/>
    <sheet name="⚡ Last 24h Jobs" sheetId="2" r:id="rId2"/>
    <sheet name="🕐 Last 36h Jobs" sheetId="3" r:id="rId3"/>
    <sheet name="🏢 Company Pages" sheetId="4" r:id="rId4"/>
    <sheet name="🌐 All Jobs" sheetId="5" r:id="rId5"/>
    <sheet name="💻 Software Dev" sheetId="6" r:id="rId6"/>
    <sheet name="🤖 AI and ML" sheetId="7" r:id="rId7"/>
    <sheet name="🌐 Web Dev" sheetId="8" r:id="rId8"/>
    <sheet name="📊 Data" sheetId="9" r:id="rId9"/>
    <sheet name="📞 BPO" sheetId="10" r:id="rId10"/>
    <sheet name="📈 Sales" sheetId="11" r:id="rId11"/>
    <sheet name="📣 Marketing" sheetId="12" r:id="rId12"/>
    <sheet name="👥 HR" sheetId="13" r:id="rId13"/>
    <sheet name="💰 Finance" sheetId="14" r:id="rId14"/>
  </sheets>
  <definedNames>
    <definedName name="_xlnm._FilterDatabase" localSheetId="1" hidden="1">'⚡ Last 24h Jobs'!$A$3:$M$19</definedName>
    <definedName name="_xlnm._FilterDatabase" localSheetId="4" hidden="1">'🌐 All Jobs'!$A$3:$M$78</definedName>
    <definedName name="_xlnm._FilterDatabase" localSheetId="7" hidden="1">'🌐 Web Dev'!$A$3:$M$6</definedName>
    <definedName name="_xlnm._FilterDatabase" localSheetId="3" hidden="1">'🏢 Company Pages'!$A$3:$M$54</definedName>
    <definedName name="_xlnm._FilterDatabase" localSheetId="12" hidden="1">'👥 HR'!$A$3:$M$4</definedName>
    <definedName name="_xlnm._FilterDatabase" localSheetId="13" hidden="1">'💰 Finance'!$A$3:$M$9</definedName>
    <definedName name="_xlnm._FilterDatabase" localSheetId="5" hidden="1">'💻 Software Dev'!$A$3:$M$45</definedName>
    <definedName name="_xlnm._FilterDatabase" localSheetId="10" hidden="1">'📈 Sales'!$A$3:$M$7</definedName>
    <definedName name="_xlnm._FilterDatabase" localSheetId="8" hidden="1">'📊 Data'!$A$3:$M$4</definedName>
    <definedName name="_xlnm._FilterDatabase" localSheetId="9" hidden="1">'📞 BPO'!$A$3:$M$11</definedName>
    <definedName name="_xlnm._FilterDatabase" localSheetId="11" hidden="1">'📣 Marketing'!$A$3:$M$5</definedName>
    <definedName name="_xlnm._FilterDatabase" localSheetId="2" hidden="1">'🕐 Last 36h Jobs'!$A$3:$M$14</definedName>
    <definedName name="_xlnm._FilterDatabase" localSheetId="6" hidden="1">'🤖 AI and ML'!$A$3:$M$4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4" l="1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P3" i="12"/>
  <c r="P2" i="12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P2" i="11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<sst xmlns="http://schemas.openxmlformats.org/spreadsheetml/2006/main" count="2908" uniqueCount="291">
  <si>
    <t>🌟  BCVWORLD — MEGA FRESHER JOB TRACKER  |  IT + Non-IT + BPO + AI + QA + Trainee  |  2026-03-08</t>
  </si>
  <si>
    <t>📊 SCRAPE SUMMARY</t>
  </si>
  <si>
    <t>⚡ Last 24h Jobs</t>
  </si>
  <si>
    <t>16</t>
  </si>
  <si>
    <t>🕐 Last 36h Jobs</t>
  </si>
  <si>
    <t>11</t>
  </si>
  <si>
    <t>🏢 Company Pages</t>
  </si>
  <si>
    <t>51</t>
  </si>
  <si>
    <t>✅ Total Unique</t>
  </si>
  <si>
    <t>75</t>
  </si>
  <si>
    <t>📁 JOBS BY CATEGORY</t>
  </si>
  <si>
    <t xml:space="preserve">  Software Development</t>
  </si>
  <si>
    <t>42 jobs</t>
  </si>
  <si>
    <t xml:space="preserve">  BPO / Customer Service</t>
  </si>
  <si>
    <t>8 jobs</t>
  </si>
  <si>
    <t xml:space="preserve">  General / Others</t>
  </si>
  <si>
    <t>7 jobs</t>
  </si>
  <si>
    <t xml:space="preserve">  Finance &amp; Accounts</t>
  </si>
  <si>
    <t>6 jobs</t>
  </si>
  <si>
    <t xml:space="preserve">  Sales &amp; Business Dev</t>
  </si>
  <si>
    <t>4 jobs</t>
  </si>
  <si>
    <t xml:space="preserve">  Web Development</t>
  </si>
  <si>
    <t>3 jobs</t>
  </si>
  <si>
    <t xml:space="preserve">  Marketing &amp; Content</t>
  </si>
  <si>
    <t>2 jobs</t>
  </si>
  <si>
    <t xml:space="preserve">  Data &amp; Analytics</t>
  </si>
  <si>
    <t>1 jobs</t>
  </si>
  <si>
    <t xml:space="preserve">  HR &amp; Recruitment</t>
  </si>
  <si>
    <t xml:space="preserve">  AI / ML / Data Science</t>
  </si>
  <si>
    <t>📑 SHEETS</t>
  </si>
  <si>
    <t>ALL categories — posted in last 24 hours</t>
  </si>
  <si>
    <t>ALL categories — posted in last 36 hours</t>
  </si>
  <si>
    <t>51 companies — direct career links</t>
  </si>
  <si>
    <t>🌐 All Jobs</t>
  </si>
  <si>
    <t>Everything combined</t>
  </si>
  <si>
    <t>💻 Software Dev</t>
  </si>
  <si>
    <t>Java · Python · Full Stack · Backend · Frontend</t>
  </si>
  <si>
    <t>🤖 AI and ML</t>
  </si>
  <si>
    <t>AI Engineer · ML · Data Science · NLP · LLM</t>
  </si>
  <si>
    <t>🧪 QA Testing</t>
  </si>
  <si>
    <t>Automation · Selenium · Manual Testing · SDET</t>
  </si>
  <si>
    <t>☁️ DevOps Cloud</t>
  </si>
  <si>
    <t>AWS · Azure · K8s · Linux · Cybersecurity</t>
  </si>
  <si>
    <t>📞 BPO</t>
  </si>
  <si>
    <t>Voice · Chat · Non-Voice · Telecalling · Back Office</t>
  </si>
  <si>
    <t>📈 Non-IT</t>
  </si>
  <si>
    <t>Sales · Marketing · HR · Finance · Operations</t>
  </si>
  <si>
    <t>💡 HOW TO USE</t>
  </si>
  <si>
    <t>Step 1</t>
  </si>
  <si>
    <t>Start with ⚡ Last 24h Jobs — freshest listings first</t>
  </si>
  <si>
    <t>Step 2</t>
  </si>
  <si>
    <t>Use Category filter ▼ to show only IT / BPO / Non-IT etc.</t>
  </si>
  <si>
    <t>Step 3</t>
  </si>
  <si>
    <t>Click ▶ APPLY NOW — opens direct application page</t>
  </si>
  <si>
    <t>Step 4</t>
  </si>
  <si>
    <t>Update Status column to track your applications</t>
  </si>
  <si>
    <t>⚡ ALL FRESHER JOBS — LAST 24 HOURS  |  16 Jobs  |  2026-03-08</t>
  </si>
  <si>
    <t>📊 JOBS BY CATEGORY</t>
  </si>
  <si>
    <t>Filter by Category ▼  |  Data &amp; Analytics  ·  General / Others  ·  Marketing &amp; Content  ·  Sales &amp; Business Dev  ·  Software Development  ·  Web Development</t>
  </si>
  <si>
    <t>Software Development</t>
  </si>
  <si>
    <t>#</t>
  </si>
  <si>
    <t>Job Title</t>
  </si>
  <si>
    <t>Company</t>
  </si>
  <si>
    <t>Category</t>
  </si>
  <si>
    <t>Location</t>
  </si>
  <si>
    <t>Salary</t>
  </si>
  <si>
    <t>Key Skills</t>
  </si>
  <si>
    <t>Posted</t>
  </si>
  <si>
    <t>Window</t>
  </si>
  <si>
    <t>Status</t>
  </si>
  <si>
    <t>▶ APPLY NOW</t>
  </si>
  <si>
    <t>Source</t>
  </si>
  <si>
    <t>Notes</t>
  </si>
  <si>
    <t>AI / ML / Data Science</t>
  </si>
  <si>
    <t>Data Analyst Intern</t>
  </si>
  <si>
    <t>Inficore Soft</t>
  </si>
  <si>
    <t>Data &amp; Analytics</t>
  </si>
  <si>
    <t>India</t>
  </si>
  <si>
    <t>Not Disclosed</t>
  </si>
  <si>
    <t>Communication Skills, Problem Solving, MS Office, Analytical Skills</t>
  </si>
  <si>
    <t>2026-03-08</t>
  </si>
  <si>
    <t>24h</t>
  </si>
  <si>
    <t>Not Applied</t>
  </si>
  <si>
    <t>▶  APPLY NOW</t>
  </si>
  <si>
    <t>LinkedIn</t>
  </si>
  <si>
    <t>QA / Testing / Automation</t>
  </si>
  <si>
    <t>Intern/Fresher Front End Developer</t>
  </si>
  <si>
    <t>Maven InfoTech</t>
  </si>
  <si>
    <t>General / Others</t>
  </si>
  <si>
    <t>DevOps / Cloud / Security</t>
  </si>
  <si>
    <t>Intern/Fresher Laravel Developer</t>
  </si>
  <si>
    <t>Web Development</t>
  </si>
  <si>
    <t>Software Development Intern</t>
  </si>
  <si>
    <t>Job Nexus India</t>
  </si>
  <si>
    <t>Mobile Development</t>
  </si>
  <si>
    <t>Business Analyst Intern</t>
  </si>
  <si>
    <t>Architectural Intern</t>
  </si>
  <si>
    <t>A plus R Architects</t>
  </si>
  <si>
    <t>Coimbatore, Tamil Nadu, India</t>
  </si>
  <si>
    <t>BPO / Customer Service</t>
  </si>
  <si>
    <t>Apprentice Engineer North India (Fresher)</t>
  </si>
  <si>
    <t>TRUMPF India</t>
  </si>
  <si>
    <t>Pune Division, Maharashtra, India</t>
  </si>
  <si>
    <t>NLP, Communication Skills, Problem Solving, Analytical Skills</t>
  </si>
  <si>
    <t>Sales &amp; Business Dev</t>
  </si>
  <si>
    <t>Digital Marketing Specialist Intern</t>
  </si>
  <si>
    <t>WhiterApps</t>
  </si>
  <si>
    <t>Marketing &amp; Content</t>
  </si>
  <si>
    <t>Git, Digital Marketing, Communication Skills, Problem Solving, Analytical Skills</t>
  </si>
  <si>
    <t>Digital Marketing Intern</t>
  </si>
  <si>
    <t>Qodeit</t>
  </si>
  <si>
    <t>Raipur, Chhattisgarh, India</t>
  </si>
  <si>
    <t>HR &amp; Recruitment</t>
  </si>
  <si>
    <t>Business Development Intern</t>
  </si>
  <si>
    <t>MoonDive</t>
  </si>
  <si>
    <t>Noida, Uttar Pradesh, India</t>
  </si>
  <si>
    <t>Communication Skills, MS Office, Negotiation, Target Oriented</t>
  </si>
  <si>
    <t>Finance &amp; Accounts</t>
  </si>
  <si>
    <t>IHM Connect</t>
  </si>
  <si>
    <t>Hyderabad, Telangana, India</t>
  </si>
  <si>
    <t>Operations &amp; Logistics</t>
  </si>
  <si>
    <t>Software Engineer Intern</t>
  </si>
  <si>
    <t>Management Trainee / Admin</t>
  </si>
  <si>
    <t>KernelArch Labs</t>
  </si>
  <si>
    <t>Chennai, Tamil Nadu, India</t>
  </si>
  <si>
    <t>Cybersecurity</t>
  </si>
  <si>
    <t>Software Developer Intern</t>
  </si>
  <si>
    <t>Infrabyte Consulting</t>
  </si>
  <si>
    <t>Web Developer</t>
  </si>
  <si>
    <t>Frontend Developer</t>
  </si>
  <si>
    <t>🕐 ALL FRESHER JOBS — LAST 36 HOURS  |  11 Jobs  |  2026-03-08</t>
  </si>
  <si>
    <t>Filter by Category ▼  |  AI / ML / Data Science  ·  Data &amp; Analytics  ·  Finance &amp; Accounts  ·  General / Others  ·  HR &amp; Recruitment  ·  Marketing &amp; Content  ·  Sales &amp; Business Dev  ·  Software Development  ·  Web Development</t>
  </si>
  <si>
    <t>AI Video Marketer Intern</t>
  </si>
  <si>
    <t>The RouteRush</t>
  </si>
  <si>
    <t>Nagpur, Maharashtra, India</t>
  </si>
  <si>
    <t>Git, Artificial Intelligence, Digital Marketing, Communication Skills, Problem Solving, Analytical Skills</t>
  </si>
  <si>
    <t>36h</t>
  </si>
  <si>
    <t>Junior Associate - Accounts, Tax and Audit</t>
  </si>
  <si>
    <t>Occupational Health Advisor jobs</t>
  </si>
  <si>
    <t>Kolhapur, Maharashtra, India</t>
  </si>
  <si>
    <t>Accounting, Communication Skills, Problem Solving, Analytical Skills</t>
  </si>
  <si>
    <t>K8s, Communication Skills, Problem Solving, Analytical Skills</t>
  </si>
  <si>
    <t>Search Engine Optimisation Intern</t>
  </si>
  <si>
    <t>GulMahal</t>
  </si>
  <si>
    <t>Human Resources Intern</t>
  </si>
  <si>
    <t>Rihash Solutions</t>
  </si>
  <si>
    <t>Rajasthan, India</t>
  </si>
  <si>
    <t>HR &amp; Recruitment, Communication Skills, Problem Solving, Analytical Skills</t>
  </si>
  <si>
    <t>Sales &amp;amp; Marketing Freshers (Management, Pharma &amp;amp; Life Sciences)</t>
  </si>
  <si>
    <t>apicule</t>
  </si>
  <si>
    <t>Bengaluru, Karnataka, India</t>
  </si>
  <si>
    <t>Sales, Digital Marketing, Communication Skills, Problem Solving, Analytical Skills</t>
  </si>
  <si>
    <t>Sales &amp;amp; Customer Success Executive (Fresher)</t>
  </si>
  <si>
    <t>Proxtal</t>
  </si>
  <si>
    <t>Bhubaneswar, Odisha, India</t>
  </si>
  <si>
    <t>Sales, Communication Skills, Problem Solving, Analytical Skills</t>
  </si>
  <si>
    <t>Software Engineer</t>
  </si>
  <si>
    <t>Zetheta Algorithms Private Limited</t>
  </si>
  <si>
    <t>UI/ UX Designer (Freshers)</t>
  </si>
  <si>
    <t>Binated</t>
  </si>
  <si>
    <t>🏢 51 TOP COMPANIES — Direct Links  |  51 Jobs  |  2026-03-08</t>
  </si>
  <si>
    <t>Filter by Category ▼  |  BPO / Customer Service  ·  Finance &amp; Accounts  ·  Software Development</t>
  </si>
  <si>
    <t>Multiple Fresher Openings — Concentrix</t>
  </si>
  <si>
    <t>Concentrix</t>
  </si>
  <si>
    <t>Pan India / Bangalore / Remote</t>
  </si>
  <si>
    <t>As per company norms</t>
  </si>
  <si>
    <t>Communication Skills, English, Customer Handling, Voice Process, MS Office</t>
  </si>
  <si>
    <t>Direct</t>
  </si>
  <si>
    <t>Company Career Page</t>
  </si>
  <si>
    <t>Multiple Fresher Openings — Teleperformance</t>
  </si>
  <si>
    <t>Teleperformance</t>
  </si>
  <si>
    <t>Multiple Fresher Openings — Infosys BPM</t>
  </si>
  <si>
    <t>Infosys BPM</t>
  </si>
  <si>
    <t>Multiple Fresher Openings — EXL Service</t>
  </si>
  <si>
    <t>EXL Service</t>
  </si>
  <si>
    <t>Multiple Fresher Openings — iEnergizer</t>
  </si>
  <si>
    <t>iEnergizer</t>
  </si>
  <si>
    <t>Multiple Fresher Openings — HGS India</t>
  </si>
  <si>
    <t>HGS India</t>
  </si>
  <si>
    <t>Multiple Fresher Openings — 24/7.ai</t>
  </si>
  <si>
    <t>24/7.ai</t>
  </si>
  <si>
    <t>Multiple Fresher Openings — Mphasis BPO</t>
  </si>
  <si>
    <t>Mphasis BPO</t>
  </si>
  <si>
    <t>Multiple Fresher Openings — HDFC Bank</t>
  </si>
  <si>
    <t>HDFC Bank</t>
  </si>
  <si>
    <t>Communication Skills, MS Office, Analytical Skills, Team Work</t>
  </si>
  <si>
    <t>Multiple Fresher Openings — ICICI Bank</t>
  </si>
  <si>
    <t>ICICI Bank</t>
  </si>
  <si>
    <t>Multiple Fresher Openings — Axis Bank</t>
  </si>
  <si>
    <t>Axis Bank</t>
  </si>
  <si>
    <t>Multiple Fresher Openings — Bajaj Finance</t>
  </si>
  <si>
    <t>Bajaj Finance</t>
  </si>
  <si>
    <t>Multiple Fresher Openings — Reliance</t>
  </si>
  <si>
    <t>Reliance</t>
  </si>
  <si>
    <t>Multiple Fresher Openings — Google</t>
  </si>
  <si>
    <t>Google</t>
  </si>
  <si>
    <t>Java/Python, Communication Skills, Problem Solving, Analytical Skills</t>
  </si>
  <si>
    <t>Multiple Fresher Openings — Microsoft</t>
  </si>
  <si>
    <t>Microsoft</t>
  </si>
  <si>
    <t>Multiple Fresher Openings — Amazon</t>
  </si>
  <si>
    <t>Amazon</t>
  </si>
  <si>
    <t>Multiple Fresher Openings — IBM India</t>
  </si>
  <si>
    <t>IBM India</t>
  </si>
  <si>
    <t>Multiple Fresher Openings — Oracle</t>
  </si>
  <si>
    <t>Oracle</t>
  </si>
  <si>
    <t>Multiple Fresher Openings — SAP Labs</t>
  </si>
  <si>
    <t>SAP Labs</t>
  </si>
  <si>
    <t>Multiple Fresher Openings — Adobe India</t>
  </si>
  <si>
    <t>Adobe India</t>
  </si>
  <si>
    <t>Multiple Fresher Openings — Samsung R&amp;D</t>
  </si>
  <si>
    <t>Samsung R&amp;D</t>
  </si>
  <si>
    <t>Multiple Fresher Openings — TCS</t>
  </si>
  <si>
    <t>TCS</t>
  </si>
  <si>
    <t>Multiple Fresher Openings — Infosys</t>
  </si>
  <si>
    <t>Infosys</t>
  </si>
  <si>
    <t>Multiple Fresher Openings — Wipro</t>
  </si>
  <si>
    <t>Wipro</t>
  </si>
  <si>
    <t>Multiple Fresher Openings — HCL Technologies</t>
  </si>
  <si>
    <t>HCL Technologies</t>
  </si>
  <si>
    <t>Multiple Fresher Openings — Cognizant</t>
  </si>
  <si>
    <t>Cognizant</t>
  </si>
  <si>
    <t>Multiple Fresher Openings — Accenture</t>
  </si>
  <si>
    <t>Accenture</t>
  </si>
  <si>
    <t>Multiple Fresher Openings — Capgemini</t>
  </si>
  <si>
    <t>Capgemini</t>
  </si>
  <si>
    <t>Multiple Fresher Openings — Tech Mahindra</t>
  </si>
  <si>
    <t>Tech Mahindra</t>
  </si>
  <si>
    <t>Multiple Fresher Openings — Mphasis</t>
  </si>
  <si>
    <t>Mphasis</t>
  </si>
  <si>
    <t>Multiple Fresher Openings — LTIMindtree</t>
  </si>
  <si>
    <t>LTIMindtree</t>
  </si>
  <si>
    <t>Multiple Fresher Openings — Hexaware</t>
  </si>
  <si>
    <t>Hexaware</t>
  </si>
  <si>
    <t>Multiple Fresher Openings — Persistent</t>
  </si>
  <si>
    <t>Persistent</t>
  </si>
  <si>
    <t>Multiple Fresher Openings — Deloitte</t>
  </si>
  <si>
    <t>Deloitte</t>
  </si>
  <si>
    <t>Multiple Fresher Openings — PwC India</t>
  </si>
  <si>
    <t>PwC India</t>
  </si>
  <si>
    <t>Multiple Fresher Openings — KPMG India</t>
  </si>
  <si>
    <t>KPMG India</t>
  </si>
  <si>
    <t>Multiple Fresher Openings — EY India</t>
  </si>
  <si>
    <t>EY India</t>
  </si>
  <si>
    <t>Multiple Fresher Openings — Flipkart</t>
  </si>
  <si>
    <t>Flipkart</t>
  </si>
  <si>
    <t>Multiple Fresher Openings — Swiggy</t>
  </si>
  <si>
    <t>Swiggy</t>
  </si>
  <si>
    <t>Multiple Fresher Openings — Zomato</t>
  </si>
  <si>
    <t>Zomato</t>
  </si>
  <si>
    <t>Multiple Fresher Openings — Razorpay</t>
  </si>
  <si>
    <t>Razorpay</t>
  </si>
  <si>
    <t>Multiple Fresher Openings — PhonePe</t>
  </si>
  <si>
    <t>PhonePe</t>
  </si>
  <si>
    <t>Multiple Fresher Openings — CRED</t>
  </si>
  <si>
    <t>CRED</t>
  </si>
  <si>
    <t>Multiple Fresher Openings — Paytm</t>
  </si>
  <si>
    <t>Paytm</t>
  </si>
  <si>
    <t>Multiple Fresher Openings — Zepto</t>
  </si>
  <si>
    <t>Zepto</t>
  </si>
  <si>
    <t>Multiple Fresher Openings — Meesho</t>
  </si>
  <si>
    <t>Meesho</t>
  </si>
  <si>
    <t>Multiple Fresher Openings — Ola</t>
  </si>
  <si>
    <t>Ola</t>
  </si>
  <si>
    <t>Multiple Fresher Openings — Uber India</t>
  </si>
  <si>
    <t>Uber India</t>
  </si>
  <si>
    <t>Multiple Fresher Openings — Walmart Labs</t>
  </si>
  <si>
    <t>Walmart Labs</t>
  </si>
  <si>
    <t>Multiple Fresher Openings — Goldman Sachs</t>
  </si>
  <si>
    <t>Goldman Sachs</t>
  </si>
  <si>
    <t>Multiple Fresher Openings — JPMorgan Chase</t>
  </si>
  <si>
    <t>JPMorgan Chase</t>
  </si>
  <si>
    <t>🌐 ALL JOBS COMBINED  |  75 Jobs  |  2026-03-08</t>
  </si>
  <si>
    <t>Filter by Category ▼  |  AI / ML / Data Science  ·  BPO / Customer Service  ·  Data &amp; Analytics  ·  Finance &amp; Accounts  ·  General / Others  ·  HR &amp; Recruitment  ·  Marketing &amp; Content  ·  Sales &amp; Business Dev  ·  Software Development  ·  Web Development</t>
  </si>
  <si>
    <t>💻 Software Dev — Fresher Jobs  |  42 Jobs  |  2026-03-08</t>
  </si>
  <si>
    <t>Filter by Category ▼  |  Software Development</t>
  </si>
  <si>
    <t>🤖 AI and ML — Fresher Jobs  |  1 Jobs  |  2026-03-08</t>
  </si>
  <si>
    <t>Filter by Category ▼  |  AI / ML / Data Science</t>
  </si>
  <si>
    <t>🌐 Web Dev — Fresher Jobs  |  3 Jobs  |  2026-03-08</t>
  </si>
  <si>
    <t>Filter by Category ▼  |  Web Development</t>
  </si>
  <si>
    <t>📊 Data — Fresher Jobs  |  1 Jobs  |  2026-03-08</t>
  </si>
  <si>
    <t>Filter by Category ▼  |  Data &amp; Analytics</t>
  </si>
  <si>
    <t>📞 BPO — Fresher Jobs  |  8 Jobs  |  2026-03-08</t>
  </si>
  <si>
    <t>Filter by Category ▼  |  BPO / Customer Service</t>
  </si>
  <si>
    <t>📈 Sales — Fresher Jobs  |  4 Jobs  |  2026-03-08</t>
  </si>
  <si>
    <t>Filter by Category ▼  |  Sales &amp; Business Dev</t>
  </si>
  <si>
    <t>📣 Marketing — Fresher Jobs  |  2 Jobs  |  2026-03-08</t>
  </si>
  <si>
    <t>Filter by Category ▼  |  Marketing &amp; Content</t>
  </si>
  <si>
    <t>👥 HR — Fresher Jobs  |  1 Jobs  |  2026-03-08</t>
  </si>
  <si>
    <t>Filter by Category ▼  |  HR &amp; Recruitment</t>
  </si>
  <si>
    <t>💰 Finance — Fresher Jobs  |  6 Jobs  |  2026-03-08</t>
  </si>
  <si>
    <t>Filter by Category ▼  |  Finance &amp;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</si>
</sst>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1A3C5E"/>
      <name val="Calibri"/>
    </font>
    <font>
      <sz val="10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i/>
      <sz val="9"/>
      <color rgb="FF1A3C5E"/>
      <name val="Calibri"/>
    </font>
    <font>
      <b/>
      <sz val="9"/>
      <color rgb="FFFFFFFF"/>
      <name val="Calibri"/>
    </font>
    <font>
      <b/>
      <sz val="9"/>
      <color rgb="FF111111"/>
      <name val="Calibri"/>
    </font>
    <font>
      <sz val="9"/>
      <color rgb="FF111111"/>
      <name val="Calibri"/>
    </font>
    <font>
      <b/>
      <sz val="8"/>
      <color rgb="FF3D1A8F"/>
      <name val="Calibri"/>
    </font>
    <font>
      <u/>
      <sz val="9"/>
      <color rgb="FF0563C1"/>
      <name val="Calibri"/>
    </font>
    <font>
      <b/>
      <sz val="8"/>
      <color rgb="FF4A4A4A"/>
      <name val="Calibri"/>
    </font>
    <font>
      <b/>
      <sz val="8"/>
      <color rgb="FF7A2E8F"/>
      <name val="Calibri"/>
    </font>
    <font>
      <b/>
      <sz val="8"/>
      <color rgb="FF8F0E4A"/>
      <name val="Calibri"/>
    </font>
    <font>
      <b/>
      <sz val="8"/>
      <color rgb="FF1A3C5E"/>
      <name val="Calibri"/>
    </font>
    <font>
      <b/>
      <sz val="8"/>
      <color rgb="FF1A4E8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10"/>
      <color rgb="FF4A0E8F"/>
      <name val="Calibri"/>
    </font>
    <font>
      <b/>
      <sz val="10"/>
      <color rgb="FF1A6B2E"/>
      <name val="Calibri"/>
    </font>
    <font>
      <b/>
      <sz val="10"/>
      <color rgb="FF0E5C6B"/>
      <name val="Calibri"/>
    </font>
    <font>
      <b/>
      <sz val="10"/>
      <color rgb="FF1A4E8F"/>
      <name val="Calibri"/>
    </font>
    <font>
      <b/>
      <sz val="10"/>
      <color rgb="FF2E6B1A"/>
      <name val="Calibri"/>
    </font>
    <font>
      <b/>
      <sz val="10"/>
      <color rgb="FF3D1A8F"/>
      <name val="Calibri"/>
    </font>
    <font>
      <b/>
      <sz val="10"/>
      <color rgb="FF8F5C0E"/>
      <name val="Calibri"/>
    </font>
    <font>
      <b/>
      <sz val="10"/>
      <color rgb="FF8F0E4A"/>
      <name val="Calibri"/>
    </font>
    <font>
      <b/>
      <sz val="10"/>
      <color rgb="FF7A2E8F"/>
      <name val="Calibri"/>
    </font>
    <font>
      <b/>
      <sz val="10"/>
      <color rgb="FF6B1A6B"/>
      <name val="Calibri"/>
    </font>
    <font>
      <b/>
      <sz val="10"/>
      <color rgb="FF0E6B4A"/>
      <name val="Calibri"/>
    </font>
    <font>
      <b/>
      <sz val="10"/>
      <color rgb="FF5C4A0E"/>
      <name val="Calibri"/>
    </font>
    <font>
      <b/>
      <sz val="10"/>
      <color rgb="FF3D5C1A"/>
      <name val="Calibri"/>
    </font>
    <font>
      <b/>
      <sz val="10"/>
      <color rgb="FF8F0E0E"/>
      <name val="Calibri"/>
    </font>
    <font>
      <b/>
      <sz val="10"/>
      <color rgb="FF4A4A4A"/>
      <name val="Calibri"/>
    </font>
    <font>
      <i/>
      <sz val="9"/>
      <color rgb="FF1A4A1A"/>
      <name val="Calibri"/>
    </font>
    <font>
      <b/>
      <sz val="8"/>
      <color rgb="FF4A0E8F"/>
      <name val="Calibri"/>
    </font>
    <font>
      <b/>
      <sz val="8"/>
      <color rgb="FF0E6B4A"/>
      <name val="Calibri"/>
    </font>
    <font>
      <b/>
      <sz val="8"/>
      <color rgb="FF6B1A6B"/>
      <name val="Calibri"/>
    </font>
    <font>
      <i/>
      <sz val="9"/>
      <color rgb="FF2D1A4A"/>
      <name val="Calibri"/>
    </font>
    <font>
      <b/>
      <sz val="8"/>
      <color rgb="FF8F5C0E"/>
      <name val="Calibri"/>
    </font>
    <font>
      <i/>
      <sz val="9"/>
      <color rgb="FF4A1A1A"/>
      <name val="Calibri"/>
    </font>
    <font>
      <i/>
      <sz val="9"/>
      <color rgb="FF4A0E8F"/>
      <name val="Calibri"/>
    </font>
    <font>
      <i/>
      <sz val="9"/>
      <color rgb="FF1A4E8F"/>
      <name val="Calibri"/>
    </font>
    <font>
      <i/>
      <sz val="9"/>
      <color rgb="FF3D1A8F"/>
      <name val="Calibri"/>
    </font>
    <font>
      <i/>
      <sz val="9"/>
      <color rgb="FF8F5C0E"/>
      <name val="Calibri"/>
    </font>
    <font>
      <i/>
      <sz val="9"/>
      <color rgb="FF8F0E4A"/>
      <name val="Calibri"/>
    </font>
    <font>
      <i/>
      <sz val="9"/>
      <color rgb="FF7A2E8F"/>
      <name val="Calibri"/>
    </font>
    <font>
      <i/>
      <sz val="9"/>
      <color rgb="FF6B1A6B"/>
      <name val="Calibri"/>
    </font>
    <font>
      <i/>
      <sz val="9"/>
      <color rgb="FF0E6B4A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8F7"/>
      </patternFill>
    </fill>
    <fill>
      <patternFill patternType="solid">
        <fgColor rgb="FF1A3C5E"/>
      </patternFill>
    </fill>
    <fill>
      <patternFill patternType="solid">
        <fgColor rgb="FFFFFFFF"/>
      </patternFill>
    </fill>
    <fill>
      <patternFill patternType="solid">
        <fgColor rgb="FFE5DCFF"/>
      </patternFill>
    </fill>
    <fill>
      <patternFill patternType="solid">
        <fgColor rgb="FFF0F0F0"/>
      </patternFill>
    </fill>
    <fill>
      <patternFill patternType="solid">
        <fgColor rgb="FFF0D6FF"/>
      </patternFill>
    </fill>
    <fill>
      <patternFill patternType="solid">
        <fgColor rgb="FFFFD6E8"/>
      </patternFill>
    </fill>
    <fill>
      <patternFill patternType="solid">
        <fgColor rgb="FFDCE9FF"/>
      </patternFill>
    </fill>
    <fill>
      <patternFill patternType="solid">
        <fgColor rgb="FF4A0E8F"/>
      </patternFill>
    </fill>
    <fill>
      <patternFill patternType="solid">
        <fgColor rgb="FF1A6B2E"/>
      </patternFill>
    </fill>
    <fill>
      <patternFill patternType="solid">
        <fgColor rgb="FF0E5C6B"/>
      </patternFill>
    </fill>
    <fill>
      <patternFill patternType="solid">
        <fgColor rgb="FF1A4E8F"/>
      </patternFill>
    </fill>
    <fill>
      <patternFill patternType="solid">
        <fgColor rgb="FF2E6B1A"/>
      </patternFill>
    </fill>
    <fill>
      <patternFill patternType="solid">
        <fgColor rgb="FF3D1A8F"/>
      </patternFill>
    </fill>
    <fill>
      <patternFill patternType="solid">
        <fgColor rgb="FF8F5C0E"/>
      </patternFill>
    </fill>
    <fill>
      <patternFill patternType="solid">
        <fgColor rgb="FF8F0E4A"/>
      </patternFill>
    </fill>
    <fill>
      <patternFill patternType="solid">
        <fgColor rgb="FF7A2E8F"/>
      </patternFill>
    </fill>
    <fill>
      <patternFill patternType="solid">
        <fgColor rgb="FF6B1A6B"/>
      </patternFill>
    </fill>
    <fill>
      <patternFill patternType="solid">
        <fgColor rgb="FF0E6B4A"/>
      </patternFill>
    </fill>
    <fill>
      <patternFill patternType="solid">
        <fgColor rgb="FF5C4A0E"/>
      </patternFill>
    </fill>
    <fill>
      <patternFill patternType="solid">
        <fgColor rgb="FF3D5C1A"/>
      </patternFill>
    </fill>
    <fill>
      <patternFill patternType="solid">
        <fgColor rgb="FF8F0E0E"/>
      </patternFill>
    </fill>
    <fill>
      <patternFill patternType="solid">
        <fgColor rgb="FF4A4A4A"/>
      </patternFill>
    </fill>
    <fill>
      <patternFill patternType="solid">
        <fgColor rgb="FF1A4A1A"/>
      </patternFill>
    </fill>
    <fill>
      <patternFill patternType="solid">
        <fgColor rgb="FFD4EFDF"/>
      </patternFill>
    </fill>
    <fill>
      <patternFill patternType="solid">
        <fgColor rgb="FFEDE0FF"/>
      </patternFill>
    </fill>
    <fill>
      <patternFill patternType="solid">
        <fgColor rgb="FFD4F5EC"/>
      </patternFill>
    </fill>
    <fill>
      <patternFill patternType="solid">
        <fgColor rgb="FFF5D6FF"/>
      </patternFill>
    </fill>
    <fill>
      <patternFill patternType="solid">
        <fgColor rgb="FF2D1A4A"/>
      </patternFill>
    </fill>
    <fill>
      <patternFill patternType="solid">
        <fgColor rgb="FFE8D6F7"/>
      </patternFill>
    </fill>
    <fill>
      <patternFill patternType="solid">
        <fgColor rgb="FFFDEBD0"/>
      </patternFill>
    </fill>
    <fill>
      <patternFill patternType="solid">
        <fgColor rgb="FF4A1A1A"/>
      </patternFill>
    </fill>
    <fill>
      <patternFill patternType="solid">
        <fgColor rgb="FFFAD7D7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18" fillId="4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indent="1"/>
    </xf>
    <xf numFmtId="0" fontId="19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indent="1"/>
    </xf>
    <xf numFmtId="0" fontId="20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indent="1"/>
    </xf>
    <xf numFmtId="0" fontId="21" fillId="0" borderId="1" xfId="0" applyFont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 indent="1"/>
    </xf>
    <xf numFmtId="0" fontId="22" fillId="0" borderId="1" xfId="0" applyFont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 indent="1"/>
    </xf>
    <xf numFmtId="0" fontId="23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/>
    </xf>
    <xf numFmtId="0" fontId="18" fillId="17" borderId="1" xfId="0" applyFont="1" applyFill="1" applyBorder="1" applyAlignment="1">
      <alignment horizontal="left" vertical="center" indent="1"/>
    </xf>
    <xf numFmtId="0" fontId="25" fillId="0" borderId="1" xfId="0" applyFont="1" applyBorder="1" applyAlignment="1">
      <alignment horizontal="center" vertical="center"/>
    </xf>
    <xf numFmtId="0" fontId="18" fillId="18" borderId="1" xfId="0" applyFont="1" applyFill="1" applyBorder="1" applyAlignment="1">
      <alignment horizontal="left" vertical="center" indent="1"/>
    </xf>
    <xf numFmtId="0" fontId="26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indent="1"/>
    </xf>
    <xf numFmtId="0" fontId="27" fillId="0" borderId="1" xfId="0" applyFont="1" applyBorder="1" applyAlignment="1">
      <alignment horizontal="center" vertical="center"/>
    </xf>
    <xf numFmtId="0" fontId="18" fillId="20" borderId="1" xfId="0" applyFont="1" applyFill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left" vertical="center" indent="1"/>
    </xf>
    <xf numFmtId="0" fontId="29" fillId="0" borderId="1" xfId="0" applyFont="1" applyBorder="1" applyAlignment="1">
      <alignment horizontal="center" vertical="center"/>
    </xf>
    <xf numFmtId="0" fontId="18" fillId="22" borderId="1" xfId="0" applyFont="1" applyFill="1" applyBorder="1" applyAlignment="1">
      <alignment horizontal="left" vertical="center" indent="1"/>
    </xf>
    <xf numFmtId="0" fontId="30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left" vertical="center" indent="1"/>
    </xf>
    <xf numFmtId="0" fontId="31" fillId="0" borderId="1" xfId="0" applyFont="1" applyBorder="1" applyAlignment="1">
      <alignment horizontal="center" vertical="center"/>
    </xf>
    <xf numFmtId="0" fontId="18" fillId="24" borderId="1" xfId="0" applyFont="1" applyFill="1" applyBorder="1" applyAlignment="1">
      <alignment horizontal="left" vertical="center" indent="1"/>
    </xf>
    <xf numFmtId="0" fontId="32" fillId="0" borderId="1" xfId="0" applyFont="1" applyBorder="1" applyAlignment="1">
      <alignment horizontal="center" vertical="center"/>
    </xf>
    <xf numFmtId="0" fontId="18" fillId="25" borderId="1" xfId="0" applyFont="1" applyFill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35" fillId="28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left" vertical="center" wrapText="1"/>
    </xf>
    <xf numFmtId="0" fontId="36" fillId="29" borderId="1" xfId="0" applyFont="1" applyFill="1" applyBorder="1" applyAlignment="1">
      <alignment horizontal="center" vertical="center" wrapText="1"/>
    </xf>
    <xf numFmtId="0" fontId="37" fillId="30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8" fillId="32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 wrapText="1"/>
    </xf>
    <xf numFmtId="0" fontId="39" fillId="33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left" vertical="center" wrapText="1"/>
    </xf>
    <xf numFmtId="0" fontId="7" fillId="34" borderId="1" xfId="0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9" fillId="29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7" fillId="26" borderId="0" xfId="0" applyFont="1" applyFill="1" applyAlignment="1">
      <alignment horizontal="center"/>
    </xf>
    <xf numFmtId="0" fontId="34" fillId="27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17" fillId="31" borderId="0" xfId="0" applyFont="1" applyFill="1" applyAlignment="1">
      <alignment horizontal="center"/>
    </xf>
    <xf numFmtId="0" fontId="38" fillId="32" borderId="0" xfId="0" applyFont="1" applyFill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/>
    </xf>
    <xf numFmtId="0" fontId="40" fillId="35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/>
    </xf>
    <xf numFmtId="0" fontId="41" fillId="2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/>
    </xf>
    <xf numFmtId="0" fontId="42" fillId="10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/>
    </xf>
    <xf numFmtId="0" fontId="43" fillId="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/>
    </xf>
    <xf numFmtId="0" fontId="44" fillId="33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/>
    </xf>
    <xf numFmtId="0" fontId="45" fillId="9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/>
    </xf>
    <xf numFmtId="0" fontId="46" fillId="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/>
    </xf>
    <xf numFmtId="0" fontId="47" fillId="3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17" fillId="21" borderId="0" xfId="0" applyFont="1" applyFill="1" applyAlignment="1">
      <alignment horizontal="center"/>
    </xf>
    <xf numFmtId="0" fontId="48" fillId="29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view/4381505172" TargetMode="External"/><Relationship Id="rId13" Type="http://schemas.openxmlformats.org/officeDocument/2006/relationships/hyperlink" Target="https://www.linkedin.com/jobs/view/4381503992" TargetMode="External"/><Relationship Id="rId3" Type="http://schemas.openxmlformats.org/officeDocument/2006/relationships/hyperlink" Target="https://www.linkedin.com/jobs/view/4244581672" TargetMode="External"/><Relationship Id="rId7" Type="http://schemas.openxmlformats.org/officeDocument/2006/relationships/hyperlink" Target="https://www.linkedin.com/jobs/view/4337099409" TargetMode="External"/><Relationship Id="rId12" Type="http://schemas.openxmlformats.org/officeDocument/2006/relationships/hyperlink" Target="https://www.linkedin.com/jobs/view/4381513581" TargetMode="External"/><Relationship Id="rId2" Type="http://schemas.openxmlformats.org/officeDocument/2006/relationships/hyperlink" Target="https://www.linkedin.com/jobs/view/4382601531" TargetMode="External"/><Relationship Id="rId16" Type="http://schemas.openxmlformats.org/officeDocument/2006/relationships/hyperlink" Target="https://www.linkedin.com/jobs/view/4381398704" TargetMode="External"/><Relationship Id="rId1" Type="http://schemas.openxmlformats.org/officeDocument/2006/relationships/hyperlink" Target="https://www.linkedin.com/jobs/view/4381503490" TargetMode="External"/><Relationship Id="rId6" Type="http://schemas.openxmlformats.org/officeDocument/2006/relationships/hyperlink" Target="https://www.linkedin.com/jobs/view/4381377234" TargetMode="External"/><Relationship Id="rId11" Type="http://schemas.openxmlformats.org/officeDocument/2006/relationships/hyperlink" Target="https://www.linkedin.com/jobs/view/4381530007" TargetMode="External"/><Relationship Id="rId5" Type="http://schemas.openxmlformats.org/officeDocument/2006/relationships/hyperlink" Target="https://www.linkedin.com/jobs/view/4381502519" TargetMode="External"/><Relationship Id="rId15" Type="http://schemas.openxmlformats.org/officeDocument/2006/relationships/hyperlink" Target="https://www.linkedin.com/jobs/view/4381399647" TargetMode="External"/><Relationship Id="rId10" Type="http://schemas.openxmlformats.org/officeDocument/2006/relationships/hyperlink" Target="https://www.linkedin.com/jobs/view/4381520208" TargetMode="External"/><Relationship Id="rId4" Type="http://schemas.openxmlformats.org/officeDocument/2006/relationships/hyperlink" Target="https://www.linkedin.com/jobs/view/4381393415" TargetMode="External"/><Relationship Id="rId9" Type="http://schemas.openxmlformats.org/officeDocument/2006/relationships/hyperlink" Target="https://www.linkedin.com/jobs/view/4381396368" TargetMode="External"/><Relationship Id="rId14" Type="http://schemas.openxmlformats.org/officeDocument/2006/relationships/hyperlink" Target="https://www.linkedin.com/jobs/view/438266293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view/4381352883" TargetMode="External"/><Relationship Id="rId3" Type="http://schemas.openxmlformats.org/officeDocument/2006/relationships/hyperlink" Target="https://www.linkedin.com/jobs/view/4381216537" TargetMode="External"/><Relationship Id="rId7" Type="http://schemas.openxmlformats.org/officeDocument/2006/relationships/hyperlink" Target="https://www.linkedin.com/jobs/view/4381396368" TargetMode="External"/><Relationship Id="rId2" Type="http://schemas.openxmlformats.org/officeDocument/2006/relationships/hyperlink" Target="https://www.linkedin.com/jobs/view/4381503490" TargetMode="External"/><Relationship Id="rId1" Type="http://schemas.openxmlformats.org/officeDocument/2006/relationships/hyperlink" Target="https://www.linkedin.com/jobs/view/4381507393" TargetMode="External"/><Relationship Id="rId6" Type="http://schemas.openxmlformats.org/officeDocument/2006/relationships/hyperlink" Target="https://www.linkedin.com/jobs/view/4381507236" TargetMode="External"/><Relationship Id="rId11" Type="http://schemas.openxmlformats.org/officeDocument/2006/relationships/hyperlink" Target="https://www.linkedin.com/jobs/view/4381384870" TargetMode="External"/><Relationship Id="rId5" Type="http://schemas.openxmlformats.org/officeDocument/2006/relationships/hyperlink" Target="https://www.linkedin.com/jobs/view/4381512642" TargetMode="External"/><Relationship Id="rId10" Type="http://schemas.openxmlformats.org/officeDocument/2006/relationships/hyperlink" Target="https://www.linkedin.com/jobs/view/4381370139" TargetMode="External"/><Relationship Id="rId4" Type="http://schemas.openxmlformats.org/officeDocument/2006/relationships/hyperlink" Target="https://www.linkedin.com/jobs/view/4337099409" TargetMode="External"/><Relationship Id="rId9" Type="http://schemas.openxmlformats.org/officeDocument/2006/relationships/hyperlink" Target="https://www.linkedin.com/jobs/view/4381515692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eers.ril.com/JobDescription.aspx" TargetMode="External"/><Relationship Id="rId18" Type="http://schemas.openxmlformats.org/officeDocument/2006/relationships/hyperlink" Target="https://eeho.fa.us2.oraclecloud.com/hcmUI/CandidateExperience/en/sites/jobsearch/requisitions?keyword=fresher" TargetMode="External"/><Relationship Id="rId26" Type="http://schemas.openxmlformats.org/officeDocument/2006/relationships/hyperlink" Target="https://careers.cognizant.com/global/en/search-results?keywords=fresher+trainee&amp;location=India" TargetMode="External"/><Relationship Id="rId39" Type="http://schemas.openxmlformats.org/officeDocument/2006/relationships/hyperlink" Target="https://careers.swiggy.com/" TargetMode="External"/><Relationship Id="rId21" Type="http://schemas.openxmlformats.org/officeDocument/2006/relationships/hyperlink" Target="https://sec.wd3.myworkdayjobs.com/Samsung_Careers?q=fresher+entry+level" TargetMode="External"/><Relationship Id="rId34" Type="http://schemas.openxmlformats.org/officeDocument/2006/relationships/hyperlink" Target="https://apply.deloitte.com/careers/SearchJobs/fresher%20trainee?jobSort=POSTING_DATE&amp;jobSortDirection=DESC" TargetMode="External"/><Relationship Id="rId42" Type="http://schemas.openxmlformats.org/officeDocument/2006/relationships/hyperlink" Target="https://careers.phonepe.com/" TargetMode="External"/><Relationship Id="rId47" Type="http://schemas.openxmlformats.org/officeDocument/2006/relationships/hyperlink" Target="https://www.olacabs.com/careers" TargetMode="External"/><Relationship Id="rId50" Type="http://schemas.openxmlformats.org/officeDocument/2006/relationships/hyperlink" Target="https://higher.gs.com/roles?q=fresher+analyst" TargetMode="External"/><Relationship Id="rId7" Type="http://schemas.openxmlformats.org/officeDocument/2006/relationships/hyperlink" Target="https://jobs.247.ai/jobs/search/?q=fresher&amp;location=India" TargetMode="External"/><Relationship Id="rId2" Type="http://schemas.openxmlformats.org/officeDocument/2006/relationships/hyperlink" Target="https://jobs.teleperformance.com/en/search-results?keywords=fresher&amp;location=India" TargetMode="External"/><Relationship Id="rId16" Type="http://schemas.openxmlformats.org/officeDocument/2006/relationships/hyperlink" Target="https://www.amazon.jobs/en/search?base_query=fresher+trainee&amp;country=IND&amp;sort=recent" TargetMode="External"/><Relationship Id="rId29" Type="http://schemas.openxmlformats.org/officeDocument/2006/relationships/hyperlink" Target="https://careers.techmahindra.com/search/?q=fresher&amp;locationsearch=india" TargetMode="External"/><Relationship Id="rId11" Type="http://schemas.openxmlformats.org/officeDocument/2006/relationships/hyperlink" Target="https://www.axisbank.com/about-us/careers" TargetMode="External"/><Relationship Id="rId24" Type="http://schemas.openxmlformats.org/officeDocument/2006/relationships/hyperlink" Target="https://careers.wipro.com/careers-home/jobs?q=fresher&amp;location=India" TargetMode="External"/><Relationship Id="rId32" Type="http://schemas.openxmlformats.org/officeDocument/2006/relationships/hyperlink" Target="https://career.hexaware.com/search/?q=fresher&amp;locationsearch=india" TargetMode="External"/><Relationship Id="rId37" Type="http://schemas.openxmlformats.org/officeDocument/2006/relationships/hyperlink" Target="https://careers.ey.com/ey/search/?q=fresher+trainee&amp;locationsearch=india" TargetMode="External"/><Relationship Id="rId40" Type="http://schemas.openxmlformats.org/officeDocument/2006/relationships/hyperlink" Target="https://www.zomato.com/careers" TargetMode="External"/><Relationship Id="rId45" Type="http://schemas.openxmlformats.org/officeDocument/2006/relationships/hyperlink" Target="https://jobs.lever.co/zepto" TargetMode="External"/><Relationship Id="rId5" Type="http://schemas.openxmlformats.org/officeDocument/2006/relationships/hyperlink" Target="https://www.ienergizer.com/careers/" TargetMode="External"/><Relationship Id="rId15" Type="http://schemas.openxmlformats.org/officeDocument/2006/relationships/hyperlink" Target="https://jobs.careers.microsoft.com/global/en/search?q=fresher+entry+level" TargetMode="External"/><Relationship Id="rId23" Type="http://schemas.openxmlformats.org/officeDocument/2006/relationships/hyperlink" Target="https://career.infosys.com/joblist" TargetMode="External"/><Relationship Id="rId28" Type="http://schemas.openxmlformats.org/officeDocument/2006/relationships/hyperlink" Target="https://www.capgemini.com/in-en/careers/job-search/?search_term=fresher&amp;location=india" TargetMode="External"/><Relationship Id="rId36" Type="http://schemas.openxmlformats.org/officeDocument/2006/relationships/hyperlink" Target="https://jobs.kpmg.com/search/?q=fresher+trainee&amp;locationsearch=india" TargetMode="External"/><Relationship Id="rId49" Type="http://schemas.openxmlformats.org/officeDocument/2006/relationships/hyperlink" Target="https://careers.walmart.com/results?q=fresher+trainee&amp;jobCity=Bangalore" TargetMode="External"/><Relationship Id="rId10" Type="http://schemas.openxmlformats.org/officeDocument/2006/relationships/hyperlink" Target="https://www.icicicareers.com/" TargetMode="External"/><Relationship Id="rId19" Type="http://schemas.openxmlformats.org/officeDocument/2006/relationships/hyperlink" Target="https://jobs.sap.com/search/?q=fresher&amp;locationsearch=india" TargetMode="External"/><Relationship Id="rId31" Type="http://schemas.openxmlformats.org/officeDocument/2006/relationships/hyperlink" Target="https://jobs.ltimindtree.com/search/?q=fresher&amp;locationsearch=india" TargetMode="External"/><Relationship Id="rId44" Type="http://schemas.openxmlformats.org/officeDocument/2006/relationships/hyperlink" Target="https://paytm.com/careers/" TargetMode="External"/><Relationship Id="rId4" Type="http://schemas.openxmlformats.org/officeDocument/2006/relationships/hyperlink" Target="https://www.exlservice.com/careers/job-search?q=fresher" TargetMode="External"/><Relationship Id="rId9" Type="http://schemas.openxmlformats.org/officeDocument/2006/relationships/hyperlink" Target="https://www.hdfcbank.com/personal/about-us/careers" TargetMode="External"/><Relationship Id="rId14" Type="http://schemas.openxmlformats.org/officeDocument/2006/relationships/hyperlink" Target="https://careers.google.com/jobs/results/?q=fresher+entry+level&amp;location=India" TargetMode="External"/><Relationship Id="rId22" Type="http://schemas.openxmlformats.org/officeDocument/2006/relationships/hyperlink" Target="https://ibegin.tcs.com/iBegin/" TargetMode="External"/><Relationship Id="rId27" Type="http://schemas.openxmlformats.org/officeDocument/2006/relationships/hyperlink" Target="https://www.accenture.com/in-en/careers/jobsearch?jk=fresher+trainee&amp;l=india" TargetMode="External"/><Relationship Id="rId30" Type="http://schemas.openxmlformats.org/officeDocument/2006/relationships/hyperlink" Target="https://careers.mphasis.com/search/?q=fresher&amp;locationsearch=india" TargetMode="External"/><Relationship Id="rId35" Type="http://schemas.openxmlformats.org/officeDocument/2006/relationships/hyperlink" Target="https://www.pwc.com/gx/en/careers/job-search.html" TargetMode="External"/><Relationship Id="rId43" Type="http://schemas.openxmlformats.org/officeDocument/2006/relationships/hyperlink" Target="https://careers.cred.club/" TargetMode="External"/><Relationship Id="rId48" Type="http://schemas.openxmlformats.org/officeDocument/2006/relationships/hyperlink" Target="https://www.uber.com/us/en/careers/list/?query=fresher" TargetMode="External"/><Relationship Id="rId8" Type="http://schemas.openxmlformats.org/officeDocument/2006/relationships/hyperlink" Target="https://careers.mphasis.com/search/?q=fresher+voice&amp;locationsearch=india" TargetMode="External"/><Relationship Id="rId51" Type="http://schemas.openxmlformats.org/officeDocument/2006/relationships/hyperlink" Target="https://jpmc.fa.oraclecloud.com/hcmUI/CandidateExperience/en/sites/CX_1001/requisitions?keyword=fresher+analyst" TargetMode="External"/><Relationship Id="rId3" Type="http://schemas.openxmlformats.org/officeDocument/2006/relationships/hyperlink" Target="https://www.infosysbpm.com/careers/Pages/job-openings.aspx" TargetMode="External"/><Relationship Id="rId12" Type="http://schemas.openxmlformats.org/officeDocument/2006/relationships/hyperlink" Target="https://careers.bajajfinserv.in/" TargetMode="External"/><Relationship Id="rId17" Type="http://schemas.openxmlformats.org/officeDocument/2006/relationships/hyperlink" Target="https://www.ibm.com/in-en/employment/newhire/" TargetMode="External"/><Relationship Id="rId25" Type="http://schemas.openxmlformats.org/officeDocument/2006/relationships/hyperlink" Target="https://www.hcltech.com/careers/search-jobs" TargetMode="External"/><Relationship Id="rId33" Type="http://schemas.openxmlformats.org/officeDocument/2006/relationships/hyperlink" Target="https://career.persistent.com/search/?q=fresher&amp;locationsearch=india" TargetMode="External"/><Relationship Id="rId38" Type="http://schemas.openxmlformats.org/officeDocument/2006/relationships/hyperlink" Target="https://www.flipkartcareers.com/" TargetMode="External"/><Relationship Id="rId46" Type="http://schemas.openxmlformats.org/officeDocument/2006/relationships/hyperlink" Target="https://meesho.io/" TargetMode="External"/><Relationship Id="rId20" Type="http://schemas.openxmlformats.org/officeDocument/2006/relationships/hyperlink" Target="https://careers.adobe.com/us/en/search-results?keywords=fresher+entry+level&amp;location=India" TargetMode="External"/><Relationship Id="rId41" Type="http://schemas.openxmlformats.org/officeDocument/2006/relationships/hyperlink" Target="https://razorpay.com/jobs/" TargetMode="External"/><Relationship Id="rId1" Type="http://schemas.openxmlformats.org/officeDocument/2006/relationships/hyperlink" Target="https://jobs.concentrix.com/global/en/search-results?keywords=fresher&amp;location=India" TargetMode="External"/><Relationship Id="rId6" Type="http://schemas.openxmlformats.org/officeDocument/2006/relationships/hyperlink" Target="https://www.teamhgs.com/careers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jobs/view/4381396368" TargetMode="External"/><Relationship Id="rId21" Type="http://schemas.openxmlformats.org/officeDocument/2006/relationships/hyperlink" Target="https://www.linkedin.com/jobs/view/4381377234" TargetMode="External"/><Relationship Id="rId42" Type="http://schemas.openxmlformats.org/officeDocument/2006/relationships/hyperlink" Target="https://sec.wd3.myworkdayjobs.com/Samsung_Careers?q=fresher+entry+level" TargetMode="External"/><Relationship Id="rId47" Type="http://schemas.openxmlformats.org/officeDocument/2006/relationships/hyperlink" Target="https://careers.cognizant.com/global/en/search-results?keywords=fresher+trainee&amp;location=India" TargetMode="External"/><Relationship Id="rId63" Type="http://schemas.openxmlformats.org/officeDocument/2006/relationships/hyperlink" Target="https://careers.phonepe.com/" TargetMode="External"/><Relationship Id="rId68" Type="http://schemas.openxmlformats.org/officeDocument/2006/relationships/hyperlink" Target="https://www.olacabs.com/careers" TargetMode="External"/><Relationship Id="rId2" Type="http://schemas.openxmlformats.org/officeDocument/2006/relationships/hyperlink" Target="https://jobs.concentrix.com/global/en/search-results?keywords=fresher&amp;location=India" TargetMode="External"/><Relationship Id="rId16" Type="http://schemas.openxmlformats.org/officeDocument/2006/relationships/hyperlink" Target="https://careers.ril.com/JobDescription.aspx" TargetMode="External"/><Relationship Id="rId29" Type="http://schemas.openxmlformats.org/officeDocument/2006/relationships/hyperlink" Target="https://www.linkedin.com/jobs/view/4381352883" TargetMode="External"/><Relationship Id="rId11" Type="http://schemas.openxmlformats.org/officeDocument/2006/relationships/hyperlink" Target="https://www.linkedin.com/jobs/view/4381216537" TargetMode="External"/><Relationship Id="rId24" Type="http://schemas.openxmlformats.org/officeDocument/2006/relationships/hyperlink" Target="https://www.linkedin.com/jobs/view/4381507236" TargetMode="External"/><Relationship Id="rId32" Type="http://schemas.openxmlformats.org/officeDocument/2006/relationships/hyperlink" Target="https://www.linkedin.com/jobs/view/4381503992" TargetMode="External"/><Relationship Id="rId37" Type="http://schemas.openxmlformats.org/officeDocument/2006/relationships/hyperlink" Target="https://www.amazon.jobs/en/search?base_query=fresher+trainee&amp;country=IND&amp;sort=recent" TargetMode="External"/><Relationship Id="rId40" Type="http://schemas.openxmlformats.org/officeDocument/2006/relationships/hyperlink" Target="https://jobs.sap.com/search/?q=fresher&amp;locationsearch=india" TargetMode="External"/><Relationship Id="rId45" Type="http://schemas.openxmlformats.org/officeDocument/2006/relationships/hyperlink" Target="https://careers.wipro.com/careers-home/jobs?q=fresher&amp;location=India" TargetMode="External"/><Relationship Id="rId53" Type="http://schemas.openxmlformats.org/officeDocument/2006/relationships/hyperlink" Target="https://career.hexaware.com/search/?q=fresher&amp;locationsearch=india" TargetMode="External"/><Relationship Id="rId58" Type="http://schemas.openxmlformats.org/officeDocument/2006/relationships/hyperlink" Target="https://careers.ey.com/ey/search/?q=fresher+trainee&amp;locationsearch=india" TargetMode="External"/><Relationship Id="rId66" Type="http://schemas.openxmlformats.org/officeDocument/2006/relationships/hyperlink" Target="https://jobs.lever.co/zepto" TargetMode="External"/><Relationship Id="rId74" Type="http://schemas.openxmlformats.org/officeDocument/2006/relationships/hyperlink" Target="https://www.linkedin.com/jobs/view/4381398704" TargetMode="External"/><Relationship Id="rId5" Type="http://schemas.openxmlformats.org/officeDocument/2006/relationships/hyperlink" Target="https://www.exlservice.com/careers/job-search?q=fresher" TargetMode="External"/><Relationship Id="rId61" Type="http://schemas.openxmlformats.org/officeDocument/2006/relationships/hyperlink" Target="https://www.zomato.com/careers" TargetMode="External"/><Relationship Id="rId19" Type="http://schemas.openxmlformats.org/officeDocument/2006/relationships/hyperlink" Target="https://www.linkedin.com/jobs/view/4381393415" TargetMode="External"/><Relationship Id="rId14" Type="http://schemas.openxmlformats.org/officeDocument/2006/relationships/hyperlink" Target="https://www.axisbank.com/about-us/careers" TargetMode="External"/><Relationship Id="rId22" Type="http://schemas.openxmlformats.org/officeDocument/2006/relationships/hyperlink" Target="https://www.linkedin.com/jobs/view/4337099409" TargetMode="External"/><Relationship Id="rId27" Type="http://schemas.openxmlformats.org/officeDocument/2006/relationships/hyperlink" Target="https://www.linkedin.com/jobs/view/4381520208" TargetMode="External"/><Relationship Id="rId30" Type="http://schemas.openxmlformats.org/officeDocument/2006/relationships/hyperlink" Target="https://www.linkedin.com/jobs/view/4381515692" TargetMode="External"/><Relationship Id="rId35" Type="http://schemas.openxmlformats.org/officeDocument/2006/relationships/hyperlink" Target="https://careers.google.com/jobs/results/?q=fresher+entry+level&amp;location=India" TargetMode="External"/><Relationship Id="rId43" Type="http://schemas.openxmlformats.org/officeDocument/2006/relationships/hyperlink" Target="https://ibegin.tcs.com/iBegin/" TargetMode="External"/><Relationship Id="rId48" Type="http://schemas.openxmlformats.org/officeDocument/2006/relationships/hyperlink" Target="https://www.accenture.com/in-en/careers/jobsearch?jk=fresher+trainee&amp;l=india" TargetMode="External"/><Relationship Id="rId56" Type="http://schemas.openxmlformats.org/officeDocument/2006/relationships/hyperlink" Target="https://www.pwc.com/gx/en/careers/job-search.html" TargetMode="External"/><Relationship Id="rId64" Type="http://schemas.openxmlformats.org/officeDocument/2006/relationships/hyperlink" Target="https://careers.cred.club/" TargetMode="External"/><Relationship Id="rId69" Type="http://schemas.openxmlformats.org/officeDocument/2006/relationships/hyperlink" Target="https://www.uber.com/us/en/careers/list/?query=fresher" TargetMode="External"/><Relationship Id="rId8" Type="http://schemas.openxmlformats.org/officeDocument/2006/relationships/hyperlink" Target="https://jobs.247.ai/jobs/search/?q=fresher&amp;location=India" TargetMode="External"/><Relationship Id="rId51" Type="http://schemas.openxmlformats.org/officeDocument/2006/relationships/hyperlink" Target="https://careers.mphasis.com/search/?q=fresher&amp;locationsearch=india" TargetMode="External"/><Relationship Id="rId72" Type="http://schemas.openxmlformats.org/officeDocument/2006/relationships/hyperlink" Target="https://jpmc.fa.oraclecloud.com/hcmUI/CandidateExperience/en/sites/CX_1001/requisitions?keyword=fresher+analyst" TargetMode="External"/><Relationship Id="rId3" Type="http://schemas.openxmlformats.org/officeDocument/2006/relationships/hyperlink" Target="https://jobs.teleperformance.com/en/search-results?keywords=fresher&amp;location=India" TargetMode="External"/><Relationship Id="rId12" Type="http://schemas.openxmlformats.org/officeDocument/2006/relationships/hyperlink" Target="https://www.hdfcbank.com/personal/about-us/careers" TargetMode="External"/><Relationship Id="rId17" Type="http://schemas.openxmlformats.org/officeDocument/2006/relationships/hyperlink" Target="https://www.linkedin.com/jobs/view/4382601531" TargetMode="External"/><Relationship Id="rId25" Type="http://schemas.openxmlformats.org/officeDocument/2006/relationships/hyperlink" Target="https://www.linkedin.com/jobs/view/4381505172" TargetMode="External"/><Relationship Id="rId33" Type="http://schemas.openxmlformats.org/officeDocument/2006/relationships/hyperlink" Target="https://www.linkedin.com/jobs/view/4382662933" TargetMode="External"/><Relationship Id="rId38" Type="http://schemas.openxmlformats.org/officeDocument/2006/relationships/hyperlink" Target="https://www.ibm.com/in-en/employment/newhire/" TargetMode="External"/><Relationship Id="rId46" Type="http://schemas.openxmlformats.org/officeDocument/2006/relationships/hyperlink" Target="https://www.hcltech.com/careers/search-jobs" TargetMode="External"/><Relationship Id="rId59" Type="http://schemas.openxmlformats.org/officeDocument/2006/relationships/hyperlink" Target="https://www.flipkartcareers.com/" TargetMode="External"/><Relationship Id="rId67" Type="http://schemas.openxmlformats.org/officeDocument/2006/relationships/hyperlink" Target="https://meesho.io/" TargetMode="External"/><Relationship Id="rId20" Type="http://schemas.openxmlformats.org/officeDocument/2006/relationships/hyperlink" Target="https://www.linkedin.com/jobs/view/4381502519" TargetMode="External"/><Relationship Id="rId41" Type="http://schemas.openxmlformats.org/officeDocument/2006/relationships/hyperlink" Target="https://careers.adobe.com/us/en/search-results?keywords=fresher+entry+level&amp;location=India" TargetMode="External"/><Relationship Id="rId54" Type="http://schemas.openxmlformats.org/officeDocument/2006/relationships/hyperlink" Target="https://career.persistent.com/search/?q=fresher&amp;locationsearch=india" TargetMode="External"/><Relationship Id="rId62" Type="http://schemas.openxmlformats.org/officeDocument/2006/relationships/hyperlink" Target="https://razorpay.com/jobs/" TargetMode="External"/><Relationship Id="rId70" Type="http://schemas.openxmlformats.org/officeDocument/2006/relationships/hyperlink" Target="https://careers.walmart.com/results?q=fresher+trainee&amp;jobCity=Bangalore" TargetMode="External"/><Relationship Id="rId75" Type="http://schemas.openxmlformats.org/officeDocument/2006/relationships/hyperlink" Target="https://www.linkedin.com/jobs/view/4381384870" TargetMode="External"/><Relationship Id="rId1" Type="http://schemas.openxmlformats.org/officeDocument/2006/relationships/hyperlink" Target="https://www.linkedin.com/jobs/view/4381507393" TargetMode="External"/><Relationship Id="rId6" Type="http://schemas.openxmlformats.org/officeDocument/2006/relationships/hyperlink" Target="https://www.ienergizer.com/careers/" TargetMode="External"/><Relationship Id="rId15" Type="http://schemas.openxmlformats.org/officeDocument/2006/relationships/hyperlink" Target="https://careers.bajajfinserv.in/" TargetMode="External"/><Relationship Id="rId23" Type="http://schemas.openxmlformats.org/officeDocument/2006/relationships/hyperlink" Target="https://www.linkedin.com/jobs/view/4381512642" TargetMode="External"/><Relationship Id="rId28" Type="http://schemas.openxmlformats.org/officeDocument/2006/relationships/hyperlink" Target="https://www.linkedin.com/jobs/view/4381530007" TargetMode="External"/><Relationship Id="rId36" Type="http://schemas.openxmlformats.org/officeDocument/2006/relationships/hyperlink" Target="https://jobs.careers.microsoft.com/global/en/search?q=fresher+entry+level" TargetMode="External"/><Relationship Id="rId49" Type="http://schemas.openxmlformats.org/officeDocument/2006/relationships/hyperlink" Target="https://www.capgemini.com/in-en/careers/job-search/?search_term=fresher&amp;location=india" TargetMode="External"/><Relationship Id="rId57" Type="http://schemas.openxmlformats.org/officeDocument/2006/relationships/hyperlink" Target="https://jobs.kpmg.com/search/?q=fresher+trainee&amp;locationsearch=india" TargetMode="External"/><Relationship Id="rId10" Type="http://schemas.openxmlformats.org/officeDocument/2006/relationships/hyperlink" Target="https://www.linkedin.com/jobs/view/4381503490" TargetMode="External"/><Relationship Id="rId31" Type="http://schemas.openxmlformats.org/officeDocument/2006/relationships/hyperlink" Target="https://www.linkedin.com/jobs/view/4381513581" TargetMode="External"/><Relationship Id="rId44" Type="http://schemas.openxmlformats.org/officeDocument/2006/relationships/hyperlink" Target="https://career.infosys.com/joblist" TargetMode="External"/><Relationship Id="rId52" Type="http://schemas.openxmlformats.org/officeDocument/2006/relationships/hyperlink" Target="https://jobs.ltimindtree.com/search/?q=fresher&amp;locationsearch=india" TargetMode="External"/><Relationship Id="rId60" Type="http://schemas.openxmlformats.org/officeDocument/2006/relationships/hyperlink" Target="https://careers.swiggy.com/" TargetMode="External"/><Relationship Id="rId65" Type="http://schemas.openxmlformats.org/officeDocument/2006/relationships/hyperlink" Target="https://paytm.com/careers/" TargetMode="External"/><Relationship Id="rId73" Type="http://schemas.openxmlformats.org/officeDocument/2006/relationships/hyperlink" Target="https://www.linkedin.com/jobs/view/4381399647" TargetMode="External"/><Relationship Id="rId4" Type="http://schemas.openxmlformats.org/officeDocument/2006/relationships/hyperlink" Target="https://www.infosysbpm.com/careers/Pages/job-openings.aspx" TargetMode="External"/><Relationship Id="rId9" Type="http://schemas.openxmlformats.org/officeDocument/2006/relationships/hyperlink" Target="https://careers.mphasis.com/search/?q=fresher+voice&amp;locationsearch=india" TargetMode="External"/><Relationship Id="rId13" Type="http://schemas.openxmlformats.org/officeDocument/2006/relationships/hyperlink" Target="https://www.icicicareers.com/" TargetMode="External"/><Relationship Id="rId18" Type="http://schemas.openxmlformats.org/officeDocument/2006/relationships/hyperlink" Target="https://www.linkedin.com/jobs/view/4244581672" TargetMode="External"/><Relationship Id="rId39" Type="http://schemas.openxmlformats.org/officeDocument/2006/relationships/hyperlink" Target="https://eeho.fa.us2.oraclecloud.com/hcmUI/CandidateExperience/en/sites/jobsearch/requisitions?keyword=fresher" TargetMode="External"/><Relationship Id="rId34" Type="http://schemas.openxmlformats.org/officeDocument/2006/relationships/hyperlink" Target="https://www.linkedin.com/jobs/view/4381370139" TargetMode="External"/><Relationship Id="rId50" Type="http://schemas.openxmlformats.org/officeDocument/2006/relationships/hyperlink" Target="https://careers.techmahindra.com/search/?q=fresher&amp;locationsearch=india" TargetMode="External"/><Relationship Id="rId55" Type="http://schemas.openxmlformats.org/officeDocument/2006/relationships/hyperlink" Target="https://apply.deloitte.com/careers/SearchJobs/fresher%20trainee?jobSort=POSTING_DATE&amp;jobSortDirection=DESC" TargetMode="External"/><Relationship Id="rId7" Type="http://schemas.openxmlformats.org/officeDocument/2006/relationships/hyperlink" Target="https://www.teamhgs.com/careers/" TargetMode="External"/><Relationship Id="rId71" Type="http://schemas.openxmlformats.org/officeDocument/2006/relationships/hyperlink" Target="https://higher.gs.com/roles?q=fresher+analyst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begin.tcs.com/iBegin/" TargetMode="External"/><Relationship Id="rId18" Type="http://schemas.openxmlformats.org/officeDocument/2006/relationships/hyperlink" Target="https://www.accenture.com/in-en/careers/jobsearch?jk=fresher+trainee&amp;l=india" TargetMode="External"/><Relationship Id="rId26" Type="http://schemas.openxmlformats.org/officeDocument/2006/relationships/hyperlink" Target="https://www.pwc.com/gx/en/careers/job-search.html" TargetMode="External"/><Relationship Id="rId39" Type="http://schemas.openxmlformats.org/officeDocument/2006/relationships/hyperlink" Target="https://www.uber.com/us/en/careers/list/?query=fresher" TargetMode="External"/><Relationship Id="rId21" Type="http://schemas.openxmlformats.org/officeDocument/2006/relationships/hyperlink" Target="https://careers.mphasis.com/search/?q=fresher&amp;locationsearch=india" TargetMode="External"/><Relationship Id="rId34" Type="http://schemas.openxmlformats.org/officeDocument/2006/relationships/hyperlink" Target="https://careers.cred.club/" TargetMode="External"/><Relationship Id="rId42" Type="http://schemas.openxmlformats.org/officeDocument/2006/relationships/hyperlink" Target="https://jpmc.fa.oraclecloud.com/hcmUI/CandidateExperience/en/sites/CX_1001/requisitions?keyword=fresher+analyst" TargetMode="External"/><Relationship Id="rId7" Type="http://schemas.openxmlformats.org/officeDocument/2006/relationships/hyperlink" Target="https://www.amazon.jobs/en/search?base_query=fresher+trainee&amp;country=IND&amp;sort=recent" TargetMode="External"/><Relationship Id="rId2" Type="http://schemas.openxmlformats.org/officeDocument/2006/relationships/hyperlink" Target="https://www.linkedin.com/jobs/view/4381503992" TargetMode="External"/><Relationship Id="rId16" Type="http://schemas.openxmlformats.org/officeDocument/2006/relationships/hyperlink" Target="https://www.hcltech.com/careers/search-jobs" TargetMode="External"/><Relationship Id="rId20" Type="http://schemas.openxmlformats.org/officeDocument/2006/relationships/hyperlink" Target="https://careers.techmahindra.com/search/?q=fresher&amp;locationsearch=india" TargetMode="External"/><Relationship Id="rId29" Type="http://schemas.openxmlformats.org/officeDocument/2006/relationships/hyperlink" Target="https://www.flipkartcareers.com/" TargetMode="External"/><Relationship Id="rId41" Type="http://schemas.openxmlformats.org/officeDocument/2006/relationships/hyperlink" Target="https://higher.gs.com/roles?q=fresher+analyst" TargetMode="External"/><Relationship Id="rId1" Type="http://schemas.openxmlformats.org/officeDocument/2006/relationships/hyperlink" Target="https://www.linkedin.com/jobs/view/4381513581" TargetMode="External"/><Relationship Id="rId6" Type="http://schemas.openxmlformats.org/officeDocument/2006/relationships/hyperlink" Target="https://jobs.careers.microsoft.com/global/en/search?q=fresher+entry+level" TargetMode="External"/><Relationship Id="rId11" Type="http://schemas.openxmlformats.org/officeDocument/2006/relationships/hyperlink" Target="https://careers.adobe.com/us/en/search-results?keywords=fresher+entry+level&amp;location=India" TargetMode="External"/><Relationship Id="rId24" Type="http://schemas.openxmlformats.org/officeDocument/2006/relationships/hyperlink" Target="https://career.persistent.com/search/?q=fresher&amp;locationsearch=india" TargetMode="External"/><Relationship Id="rId32" Type="http://schemas.openxmlformats.org/officeDocument/2006/relationships/hyperlink" Target="https://razorpay.com/jobs/" TargetMode="External"/><Relationship Id="rId37" Type="http://schemas.openxmlformats.org/officeDocument/2006/relationships/hyperlink" Target="https://meesho.io/" TargetMode="External"/><Relationship Id="rId40" Type="http://schemas.openxmlformats.org/officeDocument/2006/relationships/hyperlink" Target="https://careers.walmart.com/results?q=fresher+trainee&amp;jobCity=Bangalore" TargetMode="External"/><Relationship Id="rId5" Type="http://schemas.openxmlformats.org/officeDocument/2006/relationships/hyperlink" Target="https://careers.google.com/jobs/results/?q=fresher+entry+level&amp;location=India" TargetMode="External"/><Relationship Id="rId15" Type="http://schemas.openxmlformats.org/officeDocument/2006/relationships/hyperlink" Target="https://careers.wipro.com/careers-home/jobs?q=fresher&amp;location=India" TargetMode="External"/><Relationship Id="rId23" Type="http://schemas.openxmlformats.org/officeDocument/2006/relationships/hyperlink" Target="https://career.hexaware.com/search/?q=fresher&amp;locationsearch=india" TargetMode="External"/><Relationship Id="rId28" Type="http://schemas.openxmlformats.org/officeDocument/2006/relationships/hyperlink" Target="https://careers.ey.com/ey/search/?q=fresher+trainee&amp;locationsearch=india" TargetMode="External"/><Relationship Id="rId36" Type="http://schemas.openxmlformats.org/officeDocument/2006/relationships/hyperlink" Target="https://jobs.lever.co/zepto" TargetMode="External"/><Relationship Id="rId10" Type="http://schemas.openxmlformats.org/officeDocument/2006/relationships/hyperlink" Target="https://jobs.sap.com/search/?q=fresher&amp;locationsearch=india" TargetMode="External"/><Relationship Id="rId19" Type="http://schemas.openxmlformats.org/officeDocument/2006/relationships/hyperlink" Target="https://www.capgemini.com/in-en/careers/job-search/?search_term=fresher&amp;location=india" TargetMode="External"/><Relationship Id="rId31" Type="http://schemas.openxmlformats.org/officeDocument/2006/relationships/hyperlink" Target="https://www.zomato.com/careers" TargetMode="External"/><Relationship Id="rId4" Type="http://schemas.openxmlformats.org/officeDocument/2006/relationships/hyperlink" Target="https://www.linkedin.com/jobs/view/4381370139" TargetMode="External"/><Relationship Id="rId9" Type="http://schemas.openxmlformats.org/officeDocument/2006/relationships/hyperlink" Target="https://eeho.fa.us2.oraclecloud.com/hcmUI/CandidateExperience/en/sites/jobsearch/requisitions?keyword=fresher" TargetMode="External"/><Relationship Id="rId14" Type="http://schemas.openxmlformats.org/officeDocument/2006/relationships/hyperlink" Target="https://career.infosys.com/joblist" TargetMode="External"/><Relationship Id="rId22" Type="http://schemas.openxmlformats.org/officeDocument/2006/relationships/hyperlink" Target="https://jobs.ltimindtree.com/search/?q=fresher&amp;locationsearch=india" TargetMode="External"/><Relationship Id="rId27" Type="http://schemas.openxmlformats.org/officeDocument/2006/relationships/hyperlink" Target="https://jobs.kpmg.com/search/?q=fresher+trainee&amp;locationsearch=india" TargetMode="External"/><Relationship Id="rId30" Type="http://schemas.openxmlformats.org/officeDocument/2006/relationships/hyperlink" Target="https://careers.swiggy.com/" TargetMode="External"/><Relationship Id="rId35" Type="http://schemas.openxmlformats.org/officeDocument/2006/relationships/hyperlink" Target="https://paytm.com/careers/" TargetMode="External"/><Relationship Id="rId8" Type="http://schemas.openxmlformats.org/officeDocument/2006/relationships/hyperlink" Target="https://www.ibm.com/in-en/employment/newhire/" TargetMode="External"/><Relationship Id="rId3" Type="http://schemas.openxmlformats.org/officeDocument/2006/relationships/hyperlink" Target="https://www.linkedin.com/jobs/view/4382662933" TargetMode="External"/><Relationship Id="rId12" Type="http://schemas.openxmlformats.org/officeDocument/2006/relationships/hyperlink" Target="https://sec.wd3.myworkdayjobs.com/Samsung_Careers?q=fresher+entry+level" TargetMode="External"/><Relationship Id="rId17" Type="http://schemas.openxmlformats.org/officeDocument/2006/relationships/hyperlink" Target="https://careers.cognizant.com/global/en/search-results?keywords=fresher+trainee&amp;location=India" TargetMode="External"/><Relationship Id="rId25" Type="http://schemas.openxmlformats.org/officeDocument/2006/relationships/hyperlink" Target="https://apply.deloitte.com/careers/SearchJobs/fresher%20trainee?jobSort=POSTING_DATE&amp;jobSortDirection=DESC" TargetMode="External"/><Relationship Id="rId33" Type="http://schemas.openxmlformats.org/officeDocument/2006/relationships/hyperlink" Target="https://careers.phonepe.com/" TargetMode="External"/><Relationship Id="rId38" Type="http://schemas.openxmlformats.org/officeDocument/2006/relationships/hyperlink" Target="https://www.olacabs.com/career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view/438150739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4381384870" TargetMode="External"/><Relationship Id="rId2" Type="http://schemas.openxmlformats.org/officeDocument/2006/relationships/hyperlink" Target="https://www.linkedin.com/jobs/view/4381398704" TargetMode="External"/><Relationship Id="rId1" Type="http://schemas.openxmlformats.org/officeDocument/2006/relationships/hyperlink" Target="https://www.linkedin.com/jobs/view/438139964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view/438150349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careers.mphasis.com/search/?q=fresher+voice&amp;locationsearch=india" TargetMode="External"/><Relationship Id="rId3" Type="http://schemas.openxmlformats.org/officeDocument/2006/relationships/hyperlink" Target="https://www.infosysbpm.com/careers/Pages/job-openings.aspx" TargetMode="External"/><Relationship Id="rId7" Type="http://schemas.openxmlformats.org/officeDocument/2006/relationships/hyperlink" Target="https://jobs.247.ai/jobs/search/?q=fresher&amp;location=India" TargetMode="External"/><Relationship Id="rId2" Type="http://schemas.openxmlformats.org/officeDocument/2006/relationships/hyperlink" Target="https://jobs.teleperformance.com/en/search-results?keywords=fresher&amp;location=India" TargetMode="External"/><Relationship Id="rId1" Type="http://schemas.openxmlformats.org/officeDocument/2006/relationships/hyperlink" Target="https://jobs.concentrix.com/global/en/search-results?keywords=fresher&amp;location=India" TargetMode="External"/><Relationship Id="rId6" Type="http://schemas.openxmlformats.org/officeDocument/2006/relationships/hyperlink" Target="https://www.teamhgs.com/careers/" TargetMode="External"/><Relationship Id="rId5" Type="http://schemas.openxmlformats.org/officeDocument/2006/relationships/hyperlink" Target="https://www.ienergizer.com/careers/" TargetMode="External"/><Relationship Id="rId4" Type="http://schemas.openxmlformats.org/officeDocument/2006/relationships/hyperlink" Target="https://www.exlservice.com/careers/job-search?q=freshe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4381352883" TargetMode="External"/><Relationship Id="rId2" Type="http://schemas.openxmlformats.org/officeDocument/2006/relationships/hyperlink" Target="https://www.linkedin.com/jobs/view/4381530007" TargetMode="External"/><Relationship Id="rId1" Type="http://schemas.openxmlformats.org/officeDocument/2006/relationships/hyperlink" Target="https://www.linkedin.com/jobs/view/4381520208" TargetMode="External"/><Relationship Id="rId4" Type="http://schemas.openxmlformats.org/officeDocument/2006/relationships/hyperlink" Target="https://www.linkedin.com/jobs/view/4381515692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jobs/view/4381396368" TargetMode="External"/><Relationship Id="rId1" Type="http://schemas.openxmlformats.org/officeDocument/2006/relationships/hyperlink" Target="https://www.linkedin.com/jobs/view/438150517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view/438150723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icicareers.com/" TargetMode="External"/><Relationship Id="rId2" Type="http://schemas.openxmlformats.org/officeDocument/2006/relationships/hyperlink" Target="https://www.hdfcbank.com/personal/about-us/careers" TargetMode="External"/><Relationship Id="rId1" Type="http://schemas.openxmlformats.org/officeDocument/2006/relationships/hyperlink" Target="https://www.linkedin.com/jobs/view/4381216537" TargetMode="External"/><Relationship Id="rId6" Type="http://schemas.openxmlformats.org/officeDocument/2006/relationships/hyperlink" Target="https://careers.ril.com/JobDescription.aspx" TargetMode="External"/><Relationship Id="rId5" Type="http://schemas.openxmlformats.org/officeDocument/2006/relationships/hyperlink" Target="https://careers.bajajfinserv.in/" TargetMode="External"/><Relationship Id="rId4" Type="http://schemas.openxmlformats.org/officeDocument/2006/relationships/hyperlink" Target="https://www.axisbank.com/about-us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J38"/>
  <sheetViews>
    <sheetView tabSelected="1" topLeftCell="A28" workbookViewId="0">
      <selection activeCell="B37" sqref="B37"/>
    </sheetView>
  </sheetViews>
  <sheetFormatPr defaultRowHeight="14.4" x14ac:dyDescent="0.3"/>
  <cols>
    <col min="1" max="1" width="24" customWidth="1"/>
    <col min="2" max="2" width="55" customWidth="1"/>
    <col min="3" max="10" width="10" customWidth="1"/>
  </cols>
  <sheetData>
    <row r="1" spans="1:10" ht="46.05" customHeight="1" x14ac:dyDescent="0.3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19.95" customHeight="1" x14ac:dyDescent="0.3">
      <c r="A2" s="1"/>
      <c r="B2" s="2"/>
      <c r="C2" s="3"/>
      <c r="D2" s="3"/>
      <c r="E2" s="3"/>
      <c r="F2" s="3"/>
      <c r="G2" s="3"/>
      <c r="H2" s="3"/>
      <c r="I2" s="3"/>
      <c r="J2" s="3"/>
    </row>
    <row r="3" spans="1:10" ht="19.95" customHeight="1" x14ac:dyDescent="0.3">
      <c r="A3" s="102" t="s">
        <v>1</v>
      </c>
      <c r="B3" s="101"/>
      <c r="C3" s="101"/>
      <c r="D3" s="101"/>
      <c r="E3" s="101"/>
      <c r="F3" s="101"/>
      <c r="G3" s="101"/>
      <c r="H3" s="101"/>
      <c r="I3" s="101"/>
      <c r="J3" s="101"/>
    </row>
    <row r="4" spans="1:10" ht="19.95" customHeight="1" x14ac:dyDescent="0.3">
      <c r="A4" s="1" t="s">
        <v>2</v>
      </c>
      <c r="B4" s="2" t="s">
        <v>3</v>
      </c>
      <c r="C4" s="3"/>
      <c r="D4" s="3"/>
      <c r="E4" s="3"/>
      <c r="F4" s="3"/>
      <c r="G4" s="3"/>
      <c r="H4" s="3"/>
      <c r="I4" s="3"/>
      <c r="J4" s="3"/>
    </row>
    <row r="5" spans="1:10" ht="19.95" customHeight="1" x14ac:dyDescent="0.3">
      <c r="A5" s="4" t="s">
        <v>4</v>
      </c>
      <c r="B5" s="5" t="s">
        <v>5</v>
      </c>
      <c r="C5" s="6"/>
      <c r="D5" s="6"/>
      <c r="E5" s="6"/>
      <c r="F5" s="6"/>
      <c r="G5" s="6"/>
      <c r="H5" s="6"/>
      <c r="I5" s="6"/>
      <c r="J5" s="6"/>
    </row>
    <row r="6" spans="1:10" ht="19.95" customHeight="1" x14ac:dyDescent="0.3">
      <c r="A6" s="1" t="s">
        <v>6</v>
      </c>
      <c r="B6" s="2" t="s">
        <v>7</v>
      </c>
      <c r="C6" s="3"/>
      <c r="D6" s="3"/>
      <c r="E6" s="3"/>
      <c r="F6" s="3"/>
      <c r="G6" s="3"/>
      <c r="H6" s="3"/>
      <c r="I6" s="3"/>
      <c r="J6" s="3"/>
    </row>
    <row r="7" spans="1:10" ht="19.95" customHeight="1" x14ac:dyDescent="0.3">
      <c r="A7" s="4" t="s">
        <v>8</v>
      </c>
      <c r="B7" s="5" t="s">
        <v>9</v>
      </c>
      <c r="C7" s="6"/>
      <c r="D7" s="6"/>
      <c r="E7" s="6"/>
      <c r="F7" s="6"/>
      <c r="G7" s="6"/>
      <c r="H7" s="6"/>
      <c r="I7" s="6"/>
      <c r="J7" s="6"/>
    </row>
    <row r="8" spans="1:10" ht="19.95" customHeight="1" x14ac:dyDescent="0.3">
      <c r="A8" s="1"/>
      <c r="B8" s="2"/>
      <c r="C8" s="3"/>
      <c r="D8" s="3"/>
      <c r="E8" s="3"/>
      <c r="F8" s="3"/>
      <c r="G8" s="3"/>
      <c r="H8" s="3"/>
      <c r="I8" s="3"/>
      <c r="J8" s="3"/>
    </row>
    <row r="9" spans="1:10" ht="19.95" customHeight="1" x14ac:dyDescent="0.3">
      <c r="A9" s="102" t="s">
        <v>10</v>
      </c>
      <c r="B9" s="101"/>
      <c r="C9" s="101"/>
      <c r="D9" s="101"/>
      <c r="E9" s="101"/>
      <c r="F9" s="101"/>
      <c r="G9" s="101"/>
      <c r="H9" s="101"/>
      <c r="I9" s="101"/>
      <c r="J9" s="101"/>
    </row>
    <row r="10" spans="1:10" ht="19.95" customHeight="1" x14ac:dyDescent="0.3">
      <c r="A10" s="1" t="s">
        <v>11</v>
      </c>
      <c r="B10" s="2" t="s">
        <v>12</v>
      </c>
      <c r="C10" s="3"/>
      <c r="D10" s="3"/>
      <c r="E10" s="3"/>
      <c r="F10" s="3"/>
      <c r="G10" s="3"/>
      <c r="H10" s="3"/>
      <c r="I10" s="3"/>
      <c r="J10" s="3"/>
    </row>
    <row r="11" spans="1:10" ht="19.95" customHeight="1" x14ac:dyDescent="0.3">
      <c r="A11" s="4" t="s">
        <v>13</v>
      </c>
      <c r="B11" s="5" t="s">
        <v>14</v>
      </c>
      <c r="C11" s="6"/>
      <c r="D11" s="6"/>
      <c r="E11" s="6"/>
      <c r="F11" s="6"/>
      <c r="G11" s="6"/>
      <c r="H11" s="6"/>
      <c r="I11" s="6"/>
      <c r="J11" s="6"/>
    </row>
    <row r="12" spans="1:10" ht="19.95" customHeight="1" x14ac:dyDescent="0.3">
      <c r="A12" s="1" t="s">
        <v>15</v>
      </c>
      <c r="B12" s="2" t="s">
        <v>16</v>
      </c>
      <c r="C12" s="3"/>
      <c r="D12" s="3"/>
      <c r="E12" s="3"/>
      <c r="F12" s="3"/>
      <c r="G12" s="3"/>
      <c r="H12" s="3"/>
      <c r="I12" s="3"/>
      <c r="J12" s="3"/>
    </row>
    <row r="13" spans="1:10" ht="19.95" customHeight="1" x14ac:dyDescent="0.3">
      <c r="A13" s="4" t="s">
        <v>17</v>
      </c>
      <c r="B13" s="5" t="s">
        <v>18</v>
      </c>
      <c r="C13" s="6"/>
      <c r="D13" s="6"/>
      <c r="E13" s="6"/>
      <c r="F13" s="6"/>
      <c r="G13" s="6"/>
      <c r="H13" s="6"/>
      <c r="I13" s="6"/>
      <c r="J13" s="6"/>
    </row>
    <row r="14" spans="1:10" ht="19.95" customHeight="1" x14ac:dyDescent="0.3">
      <c r="A14" s="1" t="s">
        <v>19</v>
      </c>
      <c r="B14" s="2" t="s">
        <v>20</v>
      </c>
      <c r="C14" s="3"/>
      <c r="D14" s="3"/>
      <c r="E14" s="3"/>
      <c r="F14" s="3"/>
      <c r="G14" s="3"/>
      <c r="H14" s="3"/>
      <c r="I14" s="3"/>
      <c r="J14" s="3"/>
    </row>
    <row r="15" spans="1:10" ht="19.95" customHeight="1" x14ac:dyDescent="0.3">
      <c r="A15" s="4" t="s">
        <v>21</v>
      </c>
      <c r="B15" s="5" t="s">
        <v>22</v>
      </c>
      <c r="C15" s="6"/>
      <c r="D15" s="6"/>
      <c r="E15" s="6"/>
      <c r="F15" s="6"/>
      <c r="G15" s="6"/>
      <c r="H15" s="6"/>
      <c r="I15" s="6"/>
      <c r="J15" s="6"/>
    </row>
    <row r="16" spans="1:10" ht="19.95" customHeight="1" x14ac:dyDescent="0.3">
      <c r="A16" s="1" t="s">
        <v>23</v>
      </c>
      <c r="B16" s="2" t="s">
        <v>24</v>
      </c>
      <c r="C16" s="3"/>
      <c r="D16" s="3"/>
      <c r="E16" s="3"/>
      <c r="F16" s="3"/>
      <c r="G16" s="3"/>
      <c r="H16" s="3"/>
      <c r="I16" s="3"/>
      <c r="J16" s="3"/>
    </row>
    <row r="17" spans="1:10" ht="19.95" customHeight="1" x14ac:dyDescent="0.3">
      <c r="A17" s="4" t="s">
        <v>25</v>
      </c>
      <c r="B17" s="5" t="s">
        <v>26</v>
      </c>
      <c r="C17" s="6"/>
      <c r="D17" s="6"/>
      <c r="E17" s="6"/>
      <c r="F17" s="6"/>
      <c r="G17" s="6"/>
      <c r="H17" s="6"/>
      <c r="I17" s="6"/>
      <c r="J17" s="6"/>
    </row>
    <row r="18" spans="1:10" ht="19.95" customHeight="1" x14ac:dyDescent="0.3">
      <c r="A18" s="1" t="s">
        <v>27</v>
      </c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19.95" customHeight="1" x14ac:dyDescent="0.3">
      <c r="A19" s="4" t="s">
        <v>28</v>
      </c>
      <c r="B19" s="5" t="s">
        <v>26</v>
      </c>
      <c r="C19" s="6"/>
      <c r="D19" s="6"/>
      <c r="E19" s="6"/>
      <c r="F19" s="6"/>
      <c r="G19" s="6"/>
      <c r="H19" s="6"/>
      <c r="I19" s="6"/>
      <c r="J19" s="6"/>
    </row>
    <row r="20" spans="1:10" ht="19.95" customHeight="1" x14ac:dyDescent="0.3">
      <c r="A20" s="1"/>
      <c r="B20" s="2"/>
      <c r="C20" s="3"/>
      <c r="D20" s="3"/>
      <c r="E20" s="3"/>
      <c r="F20" s="3"/>
      <c r="G20" s="3"/>
      <c r="H20" s="3"/>
      <c r="I20" s="3"/>
      <c r="J20" s="3"/>
    </row>
    <row r="21" spans="1:10" ht="19.95" customHeight="1" x14ac:dyDescent="0.3">
      <c r="A21" s="102" t="s">
        <v>29</v>
      </c>
      <c r="B21" s="101"/>
      <c r="C21" s="101"/>
      <c r="D21" s="101"/>
      <c r="E21" s="101"/>
      <c r="F21" s="101"/>
      <c r="G21" s="101"/>
      <c r="H21" s="101"/>
      <c r="I21" s="101"/>
      <c r="J21" s="101"/>
    </row>
    <row r="22" spans="1:10" ht="19.95" customHeight="1" x14ac:dyDescent="0.3">
      <c r="A22" s="1" t="s">
        <v>2</v>
      </c>
      <c r="B22" s="2" t="s">
        <v>30</v>
      </c>
      <c r="C22" s="3"/>
      <c r="D22" s="3"/>
      <c r="E22" s="3"/>
      <c r="F22" s="3"/>
      <c r="G22" s="3"/>
      <c r="H22" s="3"/>
      <c r="I22" s="3"/>
      <c r="J22" s="3"/>
    </row>
    <row r="23" spans="1:10" ht="19.95" customHeight="1" x14ac:dyDescent="0.3">
      <c r="A23" s="4" t="s">
        <v>4</v>
      </c>
      <c r="B23" s="5" t="s">
        <v>31</v>
      </c>
      <c r="C23" s="6"/>
      <c r="D23" s="6"/>
      <c r="E23" s="6"/>
      <c r="F23" s="6"/>
      <c r="G23" s="6"/>
      <c r="H23" s="6"/>
      <c r="I23" s="6"/>
      <c r="J23" s="6"/>
    </row>
    <row r="24" spans="1:10" ht="19.95" customHeight="1" x14ac:dyDescent="0.3">
      <c r="A24" s="1" t="s">
        <v>6</v>
      </c>
      <c r="B24" s="2" t="s">
        <v>32</v>
      </c>
      <c r="C24" s="3"/>
      <c r="D24" s="3"/>
      <c r="E24" s="3"/>
      <c r="F24" s="3"/>
      <c r="G24" s="3"/>
      <c r="H24" s="3"/>
      <c r="I24" s="3"/>
      <c r="J24" s="3"/>
    </row>
    <row r="25" spans="1:10" ht="19.95" customHeight="1" x14ac:dyDescent="0.3">
      <c r="A25" s="4" t="s">
        <v>33</v>
      </c>
      <c r="B25" s="5" t="s">
        <v>34</v>
      </c>
      <c r="C25" s="6"/>
      <c r="D25" s="6"/>
      <c r="E25" s="6"/>
      <c r="F25" s="6"/>
      <c r="G25" s="6"/>
      <c r="H25" s="6"/>
      <c r="I25" s="6"/>
      <c r="J25" s="6"/>
    </row>
    <row r="26" spans="1:10" ht="19.95" customHeight="1" x14ac:dyDescent="0.3">
      <c r="A26" s="1" t="s">
        <v>35</v>
      </c>
      <c r="B26" s="2" t="s">
        <v>36</v>
      </c>
      <c r="C26" s="3"/>
      <c r="D26" s="3"/>
      <c r="E26" s="3"/>
      <c r="F26" s="3"/>
      <c r="G26" s="3"/>
      <c r="H26" s="3"/>
      <c r="I26" s="3"/>
      <c r="J26" s="3"/>
    </row>
    <row r="27" spans="1:10" ht="19.95" customHeight="1" x14ac:dyDescent="0.3">
      <c r="A27" s="4" t="s">
        <v>37</v>
      </c>
      <c r="B27" s="5" t="s">
        <v>38</v>
      </c>
      <c r="C27" s="6"/>
      <c r="D27" s="6"/>
      <c r="E27" s="6"/>
      <c r="F27" s="6"/>
      <c r="G27" s="6"/>
      <c r="H27" s="6"/>
      <c r="I27" s="6"/>
      <c r="J27" s="6"/>
    </row>
    <row r="28" spans="1:10" ht="19.95" customHeight="1" x14ac:dyDescent="0.3">
      <c r="A28" s="1" t="s">
        <v>39</v>
      </c>
      <c r="B28" s="2" t="s">
        <v>40</v>
      </c>
      <c r="C28" s="3"/>
      <c r="D28" s="3"/>
      <c r="E28" s="3"/>
      <c r="F28" s="3"/>
      <c r="G28" s="3"/>
      <c r="H28" s="3"/>
      <c r="I28" s="3"/>
      <c r="J28" s="3"/>
    </row>
    <row r="29" spans="1:10" ht="19.95" customHeight="1" x14ac:dyDescent="0.3">
      <c r="A29" s="4" t="s">
        <v>41</v>
      </c>
      <c r="B29" s="5" t="s">
        <v>42</v>
      </c>
      <c r="C29" s="6"/>
      <c r="D29" s="6"/>
      <c r="E29" s="6"/>
      <c r="F29" s="6"/>
      <c r="G29" s="6"/>
      <c r="H29" s="6"/>
      <c r="I29" s="6"/>
      <c r="J29" s="6"/>
    </row>
    <row r="30" spans="1:10" ht="19.95" customHeight="1" x14ac:dyDescent="0.3">
      <c r="A30" s="1" t="s">
        <v>43</v>
      </c>
      <c r="B30" s="2" t="s">
        <v>44</v>
      </c>
      <c r="C30" s="3"/>
      <c r="D30" s="3"/>
      <c r="E30" s="3"/>
      <c r="F30" s="3"/>
      <c r="G30" s="3"/>
      <c r="H30" s="3"/>
      <c r="I30" s="3"/>
      <c r="J30" s="3"/>
    </row>
    <row r="31" spans="1:10" ht="19.95" customHeight="1" x14ac:dyDescent="0.3">
      <c r="A31" s="4" t="s">
        <v>45</v>
      </c>
      <c r="B31" s="5" t="s">
        <v>46</v>
      </c>
      <c r="C31" s="6"/>
      <c r="D31" s="6"/>
      <c r="E31" s="6"/>
      <c r="F31" s="6"/>
      <c r="G31" s="6"/>
      <c r="H31" s="6"/>
      <c r="I31" s="6"/>
      <c r="J31" s="6"/>
    </row>
    <row r="32" spans="1:10" ht="19.95" customHeight="1" x14ac:dyDescent="0.3">
      <c r="A32" s="1"/>
      <c r="B32" s="2"/>
      <c r="C32" s="3"/>
      <c r="D32" s="3"/>
      <c r="E32" s="3"/>
      <c r="F32" s="3"/>
      <c r="G32" s="3"/>
      <c r="H32" s="3"/>
      <c r="I32" s="3"/>
      <c r="J32" s="3"/>
    </row>
    <row r="33" spans="1:10" ht="19.95" customHeight="1" x14ac:dyDescent="0.3">
      <c r="A33" s="102" t="s">
        <v>47</v>
      </c>
      <c r="B33" s="101"/>
      <c r="C33" s="101"/>
      <c r="D33" s="101"/>
      <c r="E33" s="101"/>
      <c r="F33" s="101"/>
      <c r="G33" s="101"/>
      <c r="H33" s="101"/>
      <c r="I33" s="101"/>
      <c r="J33" s="101"/>
    </row>
    <row r="34" spans="1:10" ht="19.95" customHeight="1" x14ac:dyDescent="0.3">
      <c r="A34" s="1" t="s">
        <v>48</v>
      </c>
      <c r="B34" s="2" t="s">
        <v>49</v>
      </c>
      <c r="C34" s="3"/>
      <c r="D34" s="3"/>
      <c r="E34" s="3"/>
      <c r="F34" s="3"/>
      <c r="G34" s="3"/>
      <c r="H34" s="3"/>
      <c r="I34" s="3"/>
      <c r="J34" s="3"/>
    </row>
    <row r="35" spans="1:10" ht="19.95" customHeight="1" x14ac:dyDescent="0.3">
      <c r="A35" s="4" t="s">
        <v>50</v>
      </c>
      <c r="B35" s="5" t="s">
        <v>51</v>
      </c>
      <c r="C35" s="6"/>
      <c r="D35" s="6"/>
      <c r="E35" s="6"/>
      <c r="F35" s="6"/>
      <c r="G35" s="6"/>
      <c r="H35" s="6"/>
      <c r="I35" s="6"/>
      <c r="J35" s="6"/>
    </row>
    <row r="36" spans="1:10" ht="19.95" customHeight="1" x14ac:dyDescent="0.3">
      <c r="A36" s="1" t="s">
        <v>52</v>
      </c>
      <c r="B36" s="2" t="s">
        <v>53</v>
      </c>
      <c r="C36" s="3"/>
      <c r="D36" s="3"/>
      <c r="E36" s="3"/>
      <c r="F36" s="3"/>
      <c r="G36" s="3"/>
      <c r="H36" s="3"/>
      <c r="I36" s="3"/>
      <c r="J36" s="3"/>
    </row>
    <row r="37" spans="1:10" ht="19.95" customHeight="1" x14ac:dyDescent="0.3">
      <c r="A37" s="4" t="s">
        <v>54</v>
      </c>
      <c r="B37" s="5" t="s">
        <v>55</v>
      </c>
      <c r="C37" s="6"/>
      <c r="D37" s="6"/>
      <c r="E37" s="6"/>
      <c r="F37" s="6"/>
      <c r="G37" s="6"/>
      <c r="H37" s="6"/>
      <c r="I37" s="6"/>
      <c r="J37" s="6"/>
    </row>
    <row r="38" spans="1:10" ht="19.95" customHeight="1" x14ac:dyDescent="0.3">
      <c r="A38" s="1"/>
      <c r="B38" s="2"/>
      <c r="C38" s="3"/>
      <c r="D38" s="3"/>
      <c r="E38" s="3"/>
      <c r="F38" s="3"/>
      <c r="G38" s="3"/>
      <c r="H38" s="3"/>
      <c r="I38" s="3"/>
      <c r="J38" s="3"/>
    </row>
  </sheetData>
  <mergeCells count="5">
    <mergeCell ref="A1:J1"/>
    <mergeCell ref="A9:J9"/>
    <mergeCell ref="A3:J3"/>
    <mergeCell ref="A21:J21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C5E"/>
  </sheetPr>
  <dimension ref="A1:P19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05" t="s">
        <v>56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03" t="s">
        <v>57</v>
      </c>
      <c r="P1" s="101"/>
    </row>
    <row r="2" spans="1:16" ht="19.95" customHeight="1" x14ac:dyDescent="0.3">
      <c r="A2" s="104" t="s">
        <v>58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COUNTIF(D4:D19,"Software Development")</f>
        <v>3</v>
      </c>
    </row>
    <row r="3" spans="1:16" ht="19.95" customHeight="1" x14ac:dyDescent="0.3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9" t="s">
        <v>72</v>
      </c>
      <c r="O3" s="10" t="s">
        <v>73</v>
      </c>
      <c r="P3" s="11">
        <f>COUNTIF(D4:D19,"AI / ML / Data Science")</f>
        <v>0</v>
      </c>
    </row>
    <row r="4" spans="1:16" ht="19.95" customHeight="1" x14ac:dyDescent="0.3">
      <c r="A4" s="12">
        <v>1</v>
      </c>
      <c r="B4" s="13" t="s">
        <v>74</v>
      </c>
      <c r="C4" s="12" t="s">
        <v>75</v>
      </c>
      <c r="D4" s="14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5" t="s">
        <v>83</v>
      </c>
      <c r="L4" s="13" t="s">
        <v>84</v>
      </c>
      <c r="M4" s="13"/>
      <c r="O4" s="16" t="s">
        <v>85</v>
      </c>
      <c r="P4" s="17">
        <f>COUNTIF(D4:D19,"QA / Testing / Automation")</f>
        <v>0</v>
      </c>
    </row>
    <row r="5" spans="1:16" ht="19.95" customHeight="1" x14ac:dyDescent="0.3">
      <c r="A5" s="18">
        <v>2</v>
      </c>
      <c r="B5" s="19" t="s">
        <v>86</v>
      </c>
      <c r="C5" s="18" t="s">
        <v>87</v>
      </c>
      <c r="D5" s="20" t="s">
        <v>88</v>
      </c>
      <c r="E5" s="19" t="s">
        <v>77</v>
      </c>
      <c r="F5" s="19" t="s">
        <v>78</v>
      </c>
      <c r="G5" s="19" t="s">
        <v>79</v>
      </c>
      <c r="H5" s="19" t="s">
        <v>80</v>
      </c>
      <c r="I5" s="19" t="s">
        <v>81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COUNTIF(D4:D19,"DevOps / Cloud / Security")</f>
        <v>0</v>
      </c>
    </row>
    <row r="6" spans="1:16" ht="19.95" customHeight="1" x14ac:dyDescent="0.3">
      <c r="A6" s="12">
        <v>3</v>
      </c>
      <c r="B6" s="13" t="s">
        <v>90</v>
      </c>
      <c r="C6" s="12" t="s">
        <v>87</v>
      </c>
      <c r="D6" s="20" t="s">
        <v>88</v>
      </c>
      <c r="E6" s="13" t="s">
        <v>77</v>
      </c>
      <c r="F6" s="13" t="s">
        <v>78</v>
      </c>
      <c r="G6" s="13" t="s">
        <v>79</v>
      </c>
      <c r="H6" s="13" t="s">
        <v>80</v>
      </c>
      <c r="I6" s="13" t="s">
        <v>81</v>
      </c>
      <c r="J6" s="13" t="s">
        <v>82</v>
      </c>
      <c r="K6" s="15" t="s">
        <v>83</v>
      </c>
      <c r="L6" s="13" t="s">
        <v>84</v>
      </c>
      <c r="M6" s="13"/>
      <c r="O6" s="24" t="s">
        <v>91</v>
      </c>
      <c r="P6" s="25">
        <f>COUNTIF(D4:D19,"Web Development")</f>
        <v>2</v>
      </c>
    </row>
    <row r="7" spans="1:16" ht="19.95" customHeight="1" x14ac:dyDescent="0.3">
      <c r="A7" s="18">
        <v>4</v>
      </c>
      <c r="B7" s="19" t="s">
        <v>92</v>
      </c>
      <c r="C7" s="18" t="s">
        <v>93</v>
      </c>
      <c r="D7" s="20" t="s">
        <v>88</v>
      </c>
      <c r="E7" s="19" t="s">
        <v>77</v>
      </c>
      <c r="F7" s="19" t="s">
        <v>78</v>
      </c>
      <c r="G7" s="19" t="s">
        <v>79</v>
      </c>
      <c r="H7" s="19" t="s">
        <v>80</v>
      </c>
      <c r="I7" s="19" t="s">
        <v>81</v>
      </c>
      <c r="J7" s="19" t="s">
        <v>82</v>
      </c>
      <c r="K7" s="21" t="s">
        <v>83</v>
      </c>
      <c r="L7" s="19" t="s">
        <v>84</v>
      </c>
      <c r="M7" s="19"/>
      <c r="O7" s="26" t="s">
        <v>94</v>
      </c>
      <c r="P7" s="27">
        <f>COUNTIF(D4:D19,"Mobile Development")</f>
        <v>0</v>
      </c>
    </row>
    <row r="8" spans="1:16" ht="19.95" customHeight="1" x14ac:dyDescent="0.3">
      <c r="A8" s="12">
        <v>5</v>
      </c>
      <c r="B8" s="13" t="s">
        <v>95</v>
      </c>
      <c r="C8" s="12" t="s">
        <v>75</v>
      </c>
      <c r="D8" s="20" t="s">
        <v>88</v>
      </c>
      <c r="E8" s="13" t="s">
        <v>77</v>
      </c>
      <c r="F8" s="13" t="s">
        <v>78</v>
      </c>
      <c r="G8" s="13" t="s">
        <v>79</v>
      </c>
      <c r="H8" s="13" t="s">
        <v>80</v>
      </c>
      <c r="I8" s="13" t="s">
        <v>81</v>
      </c>
      <c r="J8" s="13" t="s">
        <v>82</v>
      </c>
      <c r="K8" s="15" t="s">
        <v>83</v>
      </c>
      <c r="L8" s="13" t="s">
        <v>84</v>
      </c>
      <c r="M8" s="13"/>
      <c r="O8" s="28" t="s">
        <v>76</v>
      </c>
      <c r="P8" s="29">
        <f>COUNTIF(D4:D19,"Data &amp; Analytics")</f>
        <v>1</v>
      </c>
    </row>
    <row r="9" spans="1:16" ht="19.95" customHeight="1" x14ac:dyDescent="0.3">
      <c r="A9" s="18">
        <v>6</v>
      </c>
      <c r="B9" s="19" t="s">
        <v>96</v>
      </c>
      <c r="C9" s="18" t="s">
        <v>97</v>
      </c>
      <c r="D9" s="20" t="s">
        <v>88</v>
      </c>
      <c r="E9" s="19" t="s">
        <v>98</v>
      </c>
      <c r="F9" s="19" t="s">
        <v>78</v>
      </c>
      <c r="G9" s="19" t="s">
        <v>79</v>
      </c>
      <c r="H9" s="19" t="s">
        <v>80</v>
      </c>
      <c r="I9" s="19" t="s">
        <v>81</v>
      </c>
      <c r="J9" s="19" t="s">
        <v>82</v>
      </c>
      <c r="K9" s="21" t="s">
        <v>83</v>
      </c>
      <c r="L9" s="19" t="s">
        <v>84</v>
      </c>
      <c r="M9" s="19"/>
      <c r="O9" s="30" t="s">
        <v>99</v>
      </c>
      <c r="P9" s="31">
        <f>COUNTIF(D4:D19,"BPO / Customer Service")</f>
        <v>0</v>
      </c>
    </row>
    <row r="10" spans="1:16" ht="19.95" customHeight="1" x14ac:dyDescent="0.3">
      <c r="A10" s="12">
        <v>7</v>
      </c>
      <c r="B10" s="13" t="s">
        <v>100</v>
      </c>
      <c r="C10" s="12" t="s">
        <v>101</v>
      </c>
      <c r="D10" s="20" t="s">
        <v>88</v>
      </c>
      <c r="E10" s="13" t="s">
        <v>102</v>
      </c>
      <c r="F10" s="13" t="s">
        <v>78</v>
      </c>
      <c r="G10" s="13" t="s">
        <v>103</v>
      </c>
      <c r="H10" s="13" t="s">
        <v>80</v>
      </c>
      <c r="I10" s="13" t="s">
        <v>81</v>
      </c>
      <c r="J10" s="13" t="s">
        <v>82</v>
      </c>
      <c r="K10" s="15" t="s">
        <v>83</v>
      </c>
      <c r="L10" s="13" t="s">
        <v>84</v>
      </c>
      <c r="M10" s="13"/>
      <c r="O10" s="32" t="s">
        <v>104</v>
      </c>
      <c r="P10" s="33">
        <f>COUNTIF(D4:D19,"Sales &amp; Business Dev")</f>
        <v>2</v>
      </c>
    </row>
    <row r="11" spans="1:16" ht="19.95" customHeight="1" x14ac:dyDescent="0.3">
      <c r="A11" s="18">
        <v>8</v>
      </c>
      <c r="B11" s="19" t="s">
        <v>105</v>
      </c>
      <c r="C11" s="18" t="s">
        <v>106</v>
      </c>
      <c r="D11" s="34" t="s">
        <v>107</v>
      </c>
      <c r="E11" s="19" t="s">
        <v>77</v>
      </c>
      <c r="F11" s="19" t="s">
        <v>78</v>
      </c>
      <c r="G11" s="19" t="s">
        <v>108</v>
      </c>
      <c r="H11" s="19" t="s">
        <v>80</v>
      </c>
      <c r="I11" s="19" t="s">
        <v>81</v>
      </c>
      <c r="J11" s="19" t="s">
        <v>82</v>
      </c>
      <c r="K11" s="21" t="s">
        <v>83</v>
      </c>
      <c r="L11" s="19" t="s">
        <v>84</v>
      </c>
      <c r="M11" s="19"/>
      <c r="O11" s="35" t="s">
        <v>107</v>
      </c>
      <c r="P11" s="36">
        <f>COUNTIF(D4:D19,"Marketing &amp; Content")</f>
        <v>2</v>
      </c>
    </row>
    <row r="12" spans="1:16" ht="19.95" customHeight="1" x14ac:dyDescent="0.3">
      <c r="A12" s="12">
        <v>9</v>
      </c>
      <c r="B12" s="13" t="s">
        <v>109</v>
      </c>
      <c r="C12" s="12" t="s">
        <v>110</v>
      </c>
      <c r="D12" s="34" t="s">
        <v>107</v>
      </c>
      <c r="E12" s="13" t="s">
        <v>111</v>
      </c>
      <c r="F12" s="13" t="s">
        <v>78</v>
      </c>
      <c r="G12" s="13" t="s">
        <v>108</v>
      </c>
      <c r="H12" s="13" t="s">
        <v>80</v>
      </c>
      <c r="I12" s="13" t="s">
        <v>81</v>
      </c>
      <c r="J12" s="13" t="s">
        <v>82</v>
      </c>
      <c r="K12" s="15" t="s">
        <v>83</v>
      </c>
      <c r="L12" s="13" t="s">
        <v>84</v>
      </c>
      <c r="M12" s="13"/>
      <c r="O12" s="37" t="s">
        <v>112</v>
      </c>
      <c r="P12" s="38">
        <f>COUNTIF(D4:D19,"HR &amp; Recruitment")</f>
        <v>0</v>
      </c>
    </row>
    <row r="13" spans="1:16" ht="19.95" customHeight="1" x14ac:dyDescent="0.3">
      <c r="A13" s="18">
        <v>10</v>
      </c>
      <c r="B13" s="19" t="s">
        <v>113</v>
      </c>
      <c r="C13" s="18" t="s">
        <v>114</v>
      </c>
      <c r="D13" s="39" t="s">
        <v>104</v>
      </c>
      <c r="E13" s="19" t="s">
        <v>115</v>
      </c>
      <c r="F13" s="19" t="s">
        <v>78</v>
      </c>
      <c r="G13" s="19" t="s">
        <v>116</v>
      </c>
      <c r="H13" s="19" t="s">
        <v>80</v>
      </c>
      <c r="I13" s="19" t="s">
        <v>81</v>
      </c>
      <c r="J13" s="19" t="s">
        <v>82</v>
      </c>
      <c r="K13" s="21" t="s">
        <v>83</v>
      </c>
      <c r="L13" s="19" t="s">
        <v>84</v>
      </c>
      <c r="M13" s="19"/>
      <c r="O13" s="40" t="s">
        <v>117</v>
      </c>
      <c r="P13" s="41">
        <f>COUNTIF(D4:D19,"Finance &amp; Accounts")</f>
        <v>0</v>
      </c>
    </row>
    <row r="14" spans="1:16" ht="19.95" customHeight="1" x14ac:dyDescent="0.3">
      <c r="A14" s="12">
        <v>11</v>
      </c>
      <c r="B14" s="13" t="s">
        <v>113</v>
      </c>
      <c r="C14" s="12" t="s">
        <v>118</v>
      </c>
      <c r="D14" s="39" t="s">
        <v>104</v>
      </c>
      <c r="E14" s="13" t="s">
        <v>119</v>
      </c>
      <c r="F14" s="13" t="s">
        <v>78</v>
      </c>
      <c r="G14" s="13" t="s">
        <v>116</v>
      </c>
      <c r="H14" s="13" t="s">
        <v>80</v>
      </c>
      <c r="I14" s="13" t="s">
        <v>81</v>
      </c>
      <c r="J14" s="13" t="s">
        <v>82</v>
      </c>
      <c r="K14" s="15" t="s">
        <v>83</v>
      </c>
      <c r="L14" s="13" t="s">
        <v>84</v>
      </c>
      <c r="M14" s="13"/>
      <c r="O14" s="42" t="s">
        <v>120</v>
      </c>
      <c r="P14" s="43">
        <f>COUNTIF(D4:D19,"Operations &amp; Logistics")</f>
        <v>0</v>
      </c>
    </row>
    <row r="15" spans="1:16" ht="19.95" customHeight="1" x14ac:dyDescent="0.3">
      <c r="A15" s="18">
        <v>12</v>
      </c>
      <c r="B15" s="19" t="s">
        <v>121</v>
      </c>
      <c r="C15" s="18" t="s">
        <v>75</v>
      </c>
      <c r="D15" s="44" t="s">
        <v>59</v>
      </c>
      <c r="E15" s="19" t="s">
        <v>77</v>
      </c>
      <c r="F15" s="19" t="s">
        <v>78</v>
      </c>
      <c r="G15" s="19" t="s">
        <v>79</v>
      </c>
      <c r="H15" s="19" t="s">
        <v>80</v>
      </c>
      <c r="I15" s="19" t="s">
        <v>81</v>
      </c>
      <c r="J15" s="19" t="s">
        <v>82</v>
      </c>
      <c r="K15" s="21" t="s">
        <v>83</v>
      </c>
      <c r="L15" s="19" t="s">
        <v>84</v>
      </c>
      <c r="M15" s="19"/>
      <c r="O15" s="45" t="s">
        <v>122</v>
      </c>
      <c r="P15" s="46">
        <f>COUNTIF(D4:D19,"Management Trainee / Admin")</f>
        <v>0</v>
      </c>
    </row>
    <row r="16" spans="1:16" ht="19.95" customHeight="1" x14ac:dyDescent="0.3">
      <c r="A16" s="12">
        <v>13</v>
      </c>
      <c r="B16" s="13" t="s">
        <v>121</v>
      </c>
      <c r="C16" s="12" t="s">
        <v>123</v>
      </c>
      <c r="D16" s="44" t="s">
        <v>59</v>
      </c>
      <c r="E16" s="13" t="s">
        <v>124</v>
      </c>
      <c r="F16" s="13" t="s">
        <v>78</v>
      </c>
      <c r="G16" s="13" t="s">
        <v>79</v>
      </c>
      <c r="H16" s="13" t="s">
        <v>80</v>
      </c>
      <c r="I16" s="13" t="s">
        <v>81</v>
      </c>
      <c r="J16" s="13" t="s">
        <v>82</v>
      </c>
      <c r="K16" s="15" t="s">
        <v>83</v>
      </c>
      <c r="L16" s="13" t="s">
        <v>84</v>
      </c>
      <c r="M16" s="13"/>
      <c r="O16" s="47" t="s">
        <v>125</v>
      </c>
      <c r="P16" s="48">
        <f>COUNTIF(D4:D19,"Cybersecurity")</f>
        <v>0</v>
      </c>
    </row>
    <row r="17" spans="1:16" ht="19.95" customHeight="1" x14ac:dyDescent="0.3">
      <c r="A17" s="18">
        <v>14</v>
      </c>
      <c r="B17" s="19" t="s">
        <v>126</v>
      </c>
      <c r="C17" s="18" t="s">
        <v>127</v>
      </c>
      <c r="D17" s="44" t="s">
        <v>59</v>
      </c>
      <c r="E17" s="19" t="s">
        <v>77</v>
      </c>
      <c r="F17" s="19" t="s">
        <v>78</v>
      </c>
      <c r="G17" s="19" t="s">
        <v>79</v>
      </c>
      <c r="H17" s="19" t="s">
        <v>80</v>
      </c>
      <c r="I17" s="19" t="s">
        <v>81</v>
      </c>
      <c r="J17" s="19" t="s">
        <v>82</v>
      </c>
      <c r="K17" s="21" t="s">
        <v>83</v>
      </c>
      <c r="L17" s="19" t="s">
        <v>84</v>
      </c>
      <c r="M17" s="19"/>
      <c r="O17" s="49" t="s">
        <v>88</v>
      </c>
      <c r="P17" s="50">
        <f>COUNTIF(D4:D19,"General / Others")</f>
        <v>6</v>
      </c>
    </row>
    <row r="18" spans="1:16" ht="19.95" customHeight="1" x14ac:dyDescent="0.3">
      <c r="A18" s="12">
        <v>15</v>
      </c>
      <c r="B18" s="13" t="s">
        <v>128</v>
      </c>
      <c r="C18" s="12" t="s">
        <v>75</v>
      </c>
      <c r="D18" s="51" t="s">
        <v>91</v>
      </c>
      <c r="E18" s="13" t="s">
        <v>77</v>
      </c>
      <c r="F18" s="13" t="s">
        <v>78</v>
      </c>
      <c r="G18" s="13" t="s">
        <v>79</v>
      </c>
      <c r="H18" s="13" t="s">
        <v>80</v>
      </c>
      <c r="I18" s="13" t="s">
        <v>81</v>
      </c>
      <c r="J18" s="13" t="s">
        <v>82</v>
      </c>
      <c r="K18" s="15" t="s">
        <v>83</v>
      </c>
      <c r="L18" s="13" t="s">
        <v>84</v>
      </c>
      <c r="M18" s="13"/>
    </row>
    <row r="19" spans="1:16" ht="19.95" customHeight="1" x14ac:dyDescent="0.3">
      <c r="A19" s="18">
        <v>16</v>
      </c>
      <c r="B19" s="19" t="s">
        <v>129</v>
      </c>
      <c r="C19" s="18" t="s">
        <v>75</v>
      </c>
      <c r="D19" s="51" t="s">
        <v>91</v>
      </c>
      <c r="E19" s="19" t="s">
        <v>77</v>
      </c>
      <c r="F19" s="19" t="s">
        <v>78</v>
      </c>
      <c r="G19" s="19" t="s">
        <v>79</v>
      </c>
      <c r="H19" s="19" t="s">
        <v>80</v>
      </c>
      <c r="I19" s="19" t="s">
        <v>81</v>
      </c>
      <c r="J19" s="19" t="s">
        <v>82</v>
      </c>
      <c r="K19" s="21" t="s">
        <v>83</v>
      </c>
      <c r="L19" s="19" t="s">
        <v>84</v>
      </c>
      <c r="M19" s="19"/>
    </row>
  </sheetData>
  <autoFilter ref="A3:M19" xr:uid="{00000000-0009-0000-0000-000001000000}"/>
  <mergeCells count="3">
    <mergeCell ref="O1:P1"/>
    <mergeCell ref="A2:M2"/>
    <mergeCell ref="A1:M1"/>
  </mergeCells>
  <dataValidations count="1">
    <dataValidation type="list" allowBlank="1" sqref="J4:J39" xr:uid="{00000000-0002-0000-01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100-000000000000}"/>
    <hyperlink ref="K5" r:id="rId2" xr:uid="{00000000-0004-0000-0100-000001000000}"/>
    <hyperlink ref="K6" r:id="rId3" xr:uid="{00000000-0004-0000-0100-000002000000}"/>
    <hyperlink ref="K7" r:id="rId4" xr:uid="{00000000-0004-0000-0100-000003000000}"/>
    <hyperlink ref="K8" r:id="rId5" xr:uid="{00000000-0004-0000-0100-000004000000}"/>
    <hyperlink ref="K9" r:id="rId6" xr:uid="{00000000-0004-0000-0100-000005000000}"/>
    <hyperlink ref="K10" r:id="rId7" xr:uid="{00000000-0004-0000-0100-000006000000}"/>
    <hyperlink ref="K11" r:id="rId8" xr:uid="{00000000-0004-0000-0100-000007000000}"/>
    <hyperlink ref="K12" r:id="rId9" xr:uid="{00000000-0004-0000-0100-000008000000}"/>
    <hyperlink ref="K13" r:id="rId10" xr:uid="{00000000-0004-0000-0100-000009000000}"/>
    <hyperlink ref="K14" r:id="rId11" xr:uid="{00000000-0004-0000-0100-00000A000000}"/>
    <hyperlink ref="K15" r:id="rId12" xr:uid="{00000000-0004-0000-0100-00000B000000}"/>
    <hyperlink ref="K16" r:id="rId13" xr:uid="{00000000-0004-0000-0100-00000C000000}"/>
    <hyperlink ref="K17" r:id="rId14" xr:uid="{00000000-0004-0000-0100-00000D000000}"/>
    <hyperlink ref="K18" r:id="rId15" xr:uid="{00000000-0004-0000-0100-00000E000000}"/>
    <hyperlink ref="K19" r:id="rId16" xr:uid="{00000000-0004-0000-0100-00000F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4A1A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08" t="s">
        <v>130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06" t="s">
        <v>57</v>
      </c>
      <c r="P1" s="101"/>
    </row>
    <row r="2" spans="1:16" ht="19.95" customHeight="1" x14ac:dyDescent="0.3">
      <c r="A2" s="107" t="s">
        <v>131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COUNTIF(D4:D14,"Software Development")</f>
        <v>1</v>
      </c>
    </row>
    <row r="3" spans="1:16" ht="19.95" customHeight="1" x14ac:dyDescent="0.3">
      <c r="A3" s="52" t="s">
        <v>60</v>
      </c>
      <c r="B3" s="52" t="s">
        <v>61</v>
      </c>
      <c r="C3" s="52" t="s">
        <v>62</v>
      </c>
      <c r="D3" s="52" t="s">
        <v>63</v>
      </c>
      <c r="E3" s="52" t="s">
        <v>64</v>
      </c>
      <c r="F3" s="52" t="s">
        <v>65</v>
      </c>
      <c r="G3" s="52" t="s">
        <v>66</v>
      </c>
      <c r="H3" s="52" t="s">
        <v>67</v>
      </c>
      <c r="I3" s="52" t="s">
        <v>68</v>
      </c>
      <c r="J3" s="52" t="s">
        <v>69</v>
      </c>
      <c r="K3" s="52" t="s">
        <v>70</v>
      </c>
      <c r="L3" s="52" t="s">
        <v>71</v>
      </c>
      <c r="M3" s="52" t="s">
        <v>72</v>
      </c>
      <c r="O3" s="10" t="s">
        <v>73</v>
      </c>
      <c r="P3" s="11">
        <f>COUNTIF(D4:D14,"AI / ML / Data Science")</f>
        <v>1</v>
      </c>
    </row>
    <row r="4" spans="1:16" ht="19.95" customHeight="1" x14ac:dyDescent="0.3">
      <c r="A4" s="53">
        <v>1</v>
      </c>
      <c r="B4" s="54" t="s">
        <v>132</v>
      </c>
      <c r="C4" s="53" t="s">
        <v>133</v>
      </c>
      <c r="D4" s="55" t="s">
        <v>73</v>
      </c>
      <c r="E4" s="54" t="s">
        <v>134</v>
      </c>
      <c r="F4" s="54" t="s">
        <v>78</v>
      </c>
      <c r="G4" s="54" t="s">
        <v>135</v>
      </c>
      <c r="H4" s="54" t="s">
        <v>80</v>
      </c>
      <c r="I4" s="54" t="s">
        <v>136</v>
      </c>
      <c r="J4" s="54" t="s">
        <v>82</v>
      </c>
      <c r="K4" s="56" t="s">
        <v>83</v>
      </c>
      <c r="L4" s="54" t="s">
        <v>84</v>
      </c>
      <c r="M4" s="54"/>
      <c r="O4" s="16" t="s">
        <v>85</v>
      </c>
      <c r="P4" s="17">
        <f>COUNTIF(D4:D14,"QA / Testing / Automation")</f>
        <v>0</v>
      </c>
    </row>
    <row r="5" spans="1:16" ht="19.95" customHeight="1" x14ac:dyDescent="0.3">
      <c r="A5" s="18">
        <v>2</v>
      </c>
      <c r="B5" s="19" t="s">
        <v>74</v>
      </c>
      <c r="C5" s="18" t="s">
        <v>75</v>
      </c>
      <c r="D5" s="14" t="s">
        <v>76</v>
      </c>
      <c r="E5" s="19" t="s">
        <v>77</v>
      </c>
      <c r="F5" s="19" t="s">
        <v>78</v>
      </c>
      <c r="G5" s="19" t="s">
        <v>79</v>
      </c>
      <c r="H5" s="19" t="s">
        <v>80</v>
      </c>
      <c r="I5" s="19" t="s">
        <v>136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COUNTIF(D4:D14,"DevOps / Cloud / Security")</f>
        <v>0</v>
      </c>
    </row>
    <row r="6" spans="1:16" ht="19.95" customHeight="1" x14ac:dyDescent="0.3">
      <c r="A6" s="53">
        <v>3</v>
      </c>
      <c r="B6" s="54" t="s">
        <v>137</v>
      </c>
      <c r="C6" s="53" t="s">
        <v>138</v>
      </c>
      <c r="D6" s="57" t="s">
        <v>117</v>
      </c>
      <c r="E6" s="54" t="s">
        <v>139</v>
      </c>
      <c r="F6" s="54" t="s">
        <v>78</v>
      </c>
      <c r="G6" s="54" t="s">
        <v>140</v>
      </c>
      <c r="H6" s="54" t="s">
        <v>80</v>
      </c>
      <c r="I6" s="54" t="s">
        <v>136</v>
      </c>
      <c r="J6" s="54" t="s">
        <v>82</v>
      </c>
      <c r="K6" s="56" t="s">
        <v>83</v>
      </c>
      <c r="L6" s="54" t="s">
        <v>84</v>
      </c>
      <c r="M6" s="54"/>
      <c r="O6" s="24" t="s">
        <v>91</v>
      </c>
      <c r="P6" s="25">
        <f>COUNTIF(D4:D14,"Web Development")</f>
        <v>1</v>
      </c>
    </row>
    <row r="7" spans="1:16" ht="19.95" customHeight="1" x14ac:dyDescent="0.3">
      <c r="A7" s="18">
        <v>4</v>
      </c>
      <c r="B7" s="19" t="s">
        <v>100</v>
      </c>
      <c r="C7" s="18" t="s">
        <v>101</v>
      </c>
      <c r="D7" s="20" t="s">
        <v>88</v>
      </c>
      <c r="E7" s="19" t="s">
        <v>102</v>
      </c>
      <c r="F7" s="19" t="s">
        <v>78</v>
      </c>
      <c r="G7" s="19" t="s">
        <v>141</v>
      </c>
      <c r="H7" s="19" t="s">
        <v>80</v>
      </c>
      <c r="I7" s="19" t="s">
        <v>136</v>
      </c>
      <c r="J7" s="19" t="s">
        <v>82</v>
      </c>
      <c r="K7" s="21" t="s">
        <v>83</v>
      </c>
      <c r="L7" s="19" t="s">
        <v>84</v>
      </c>
      <c r="M7" s="19"/>
      <c r="O7" s="26" t="s">
        <v>94</v>
      </c>
      <c r="P7" s="27">
        <f>COUNTIF(D4:D14,"Mobile Development")</f>
        <v>0</v>
      </c>
    </row>
    <row r="8" spans="1:16" ht="19.95" customHeight="1" x14ac:dyDescent="0.3">
      <c r="A8" s="53">
        <v>5</v>
      </c>
      <c r="B8" s="54" t="s">
        <v>142</v>
      </c>
      <c r="C8" s="53" t="s">
        <v>143</v>
      </c>
      <c r="D8" s="20" t="s">
        <v>88</v>
      </c>
      <c r="E8" s="54" t="s">
        <v>119</v>
      </c>
      <c r="F8" s="54" t="s">
        <v>78</v>
      </c>
      <c r="G8" s="54" t="s">
        <v>108</v>
      </c>
      <c r="H8" s="54" t="s">
        <v>80</v>
      </c>
      <c r="I8" s="54" t="s">
        <v>136</v>
      </c>
      <c r="J8" s="54" t="s">
        <v>82</v>
      </c>
      <c r="K8" s="56" t="s">
        <v>83</v>
      </c>
      <c r="L8" s="54" t="s">
        <v>84</v>
      </c>
      <c r="M8" s="54"/>
      <c r="O8" s="28" t="s">
        <v>76</v>
      </c>
      <c r="P8" s="29">
        <f>COUNTIF(D4:D14,"Data &amp; Analytics")</f>
        <v>1</v>
      </c>
    </row>
    <row r="9" spans="1:16" ht="19.95" customHeight="1" x14ac:dyDescent="0.3">
      <c r="A9" s="18">
        <v>6</v>
      </c>
      <c r="B9" s="19" t="s">
        <v>144</v>
      </c>
      <c r="C9" s="18" t="s">
        <v>145</v>
      </c>
      <c r="D9" s="58" t="s">
        <v>112</v>
      </c>
      <c r="E9" s="19" t="s">
        <v>146</v>
      </c>
      <c r="F9" s="19" t="s">
        <v>78</v>
      </c>
      <c r="G9" s="19" t="s">
        <v>147</v>
      </c>
      <c r="H9" s="19" t="s">
        <v>80</v>
      </c>
      <c r="I9" s="19" t="s">
        <v>136</v>
      </c>
      <c r="J9" s="19" t="s">
        <v>82</v>
      </c>
      <c r="K9" s="21" t="s">
        <v>83</v>
      </c>
      <c r="L9" s="19" t="s">
        <v>84</v>
      </c>
      <c r="M9" s="19"/>
      <c r="O9" s="30" t="s">
        <v>99</v>
      </c>
      <c r="P9" s="31">
        <f>COUNTIF(D4:D14,"BPO / Customer Service")</f>
        <v>0</v>
      </c>
    </row>
    <row r="10" spans="1:16" ht="19.95" customHeight="1" x14ac:dyDescent="0.3">
      <c r="A10" s="53">
        <v>7</v>
      </c>
      <c r="B10" s="54" t="s">
        <v>109</v>
      </c>
      <c r="C10" s="53" t="s">
        <v>110</v>
      </c>
      <c r="D10" s="34" t="s">
        <v>107</v>
      </c>
      <c r="E10" s="54" t="s">
        <v>111</v>
      </c>
      <c r="F10" s="54" t="s">
        <v>78</v>
      </c>
      <c r="G10" s="54" t="s">
        <v>108</v>
      </c>
      <c r="H10" s="54" t="s">
        <v>80</v>
      </c>
      <c r="I10" s="54" t="s">
        <v>136</v>
      </c>
      <c r="J10" s="54" t="s">
        <v>82</v>
      </c>
      <c r="K10" s="56" t="s">
        <v>83</v>
      </c>
      <c r="L10" s="54" t="s">
        <v>84</v>
      </c>
      <c r="M10" s="54"/>
      <c r="O10" s="32" t="s">
        <v>104</v>
      </c>
      <c r="P10" s="33">
        <f>COUNTIF(D4:D14,"Sales &amp; Business Dev")</f>
        <v>2</v>
      </c>
    </row>
    <row r="11" spans="1:16" ht="19.95" customHeight="1" x14ac:dyDescent="0.3">
      <c r="A11" s="18">
        <v>8</v>
      </c>
      <c r="B11" s="19" t="s">
        <v>148</v>
      </c>
      <c r="C11" s="18" t="s">
        <v>149</v>
      </c>
      <c r="D11" s="39" t="s">
        <v>104</v>
      </c>
      <c r="E11" s="19" t="s">
        <v>150</v>
      </c>
      <c r="F11" s="19" t="s">
        <v>78</v>
      </c>
      <c r="G11" s="19" t="s">
        <v>151</v>
      </c>
      <c r="H11" s="19" t="s">
        <v>80</v>
      </c>
      <c r="I11" s="19" t="s">
        <v>136</v>
      </c>
      <c r="J11" s="19" t="s">
        <v>82</v>
      </c>
      <c r="K11" s="21" t="s">
        <v>83</v>
      </c>
      <c r="L11" s="19" t="s">
        <v>84</v>
      </c>
      <c r="M11" s="19"/>
      <c r="O11" s="35" t="s">
        <v>107</v>
      </c>
      <c r="P11" s="36">
        <f>COUNTIF(D4:D14,"Marketing &amp; Content")</f>
        <v>1</v>
      </c>
    </row>
    <row r="12" spans="1:16" ht="19.95" customHeight="1" x14ac:dyDescent="0.3">
      <c r="A12" s="53">
        <v>9</v>
      </c>
      <c r="B12" s="54" t="s">
        <v>152</v>
      </c>
      <c r="C12" s="53" t="s">
        <v>153</v>
      </c>
      <c r="D12" s="39" t="s">
        <v>104</v>
      </c>
      <c r="E12" s="54" t="s">
        <v>154</v>
      </c>
      <c r="F12" s="54" t="s">
        <v>78</v>
      </c>
      <c r="G12" s="54" t="s">
        <v>155</v>
      </c>
      <c r="H12" s="54" t="s">
        <v>80</v>
      </c>
      <c r="I12" s="54" t="s">
        <v>136</v>
      </c>
      <c r="J12" s="54" t="s">
        <v>82</v>
      </c>
      <c r="K12" s="56" t="s">
        <v>83</v>
      </c>
      <c r="L12" s="54" t="s">
        <v>84</v>
      </c>
      <c r="M12" s="54"/>
      <c r="O12" s="37" t="s">
        <v>112</v>
      </c>
      <c r="P12" s="38">
        <f>COUNTIF(D4:D14,"HR &amp; Recruitment")</f>
        <v>1</v>
      </c>
    </row>
    <row r="13" spans="1:16" ht="19.95" customHeight="1" x14ac:dyDescent="0.3">
      <c r="A13" s="18">
        <v>10</v>
      </c>
      <c r="B13" s="19" t="s">
        <v>156</v>
      </c>
      <c r="C13" s="18" t="s">
        <v>157</v>
      </c>
      <c r="D13" s="44" t="s">
        <v>59</v>
      </c>
      <c r="E13" s="19" t="s">
        <v>77</v>
      </c>
      <c r="F13" s="19" t="s">
        <v>78</v>
      </c>
      <c r="G13" s="19" t="s">
        <v>79</v>
      </c>
      <c r="H13" s="19" t="s">
        <v>80</v>
      </c>
      <c r="I13" s="19" t="s">
        <v>136</v>
      </c>
      <c r="J13" s="19" t="s">
        <v>82</v>
      </c>
      <c r="K13" s="21" t="s">
        <v>83</v>
      </c>
      <c r="L13" s="19" t="s">
        <v>84</v>
      </c>
      <c r="M13" s="19"/>
      <c r="O13" s="40" t="s">
        <v>117</v>
      </c>
      <c r="P13" s="41">
        <f>COUNTIF(D4:D14,"Finance &amp; Accounts")</f>
        <v>1</v>
      </c>
    </row>
    <row r="14" spans="1:16" ht="19.95" customHeight="1" x14ac:dyDescent="0.3">
      <c r="A14" s="53">
        <v>11</v>
      </c>
      <c r="B14" s="54" t="s">
        <v>158</v>
      </c>
      <c r="C14" s="53" t="s">
        <v>159</v>
      </c>
      <c r="D14" s="51" t="s">
        <v>91</v>
      </c>
      <c r="E14" s="54" t="s">
        <v>77</v>
      </c>
      <c r="F14" s="54" t="s">
        <v>78</v>
      </c>
      <c r="G14" s="54" t="s">
        <v>108</v>
      </c>
      <c r="H14" s="54" t="s">
        <v>80</v>
      </c>
      <c r="I14" s="54" t="s">
        <v>136</v>
      </c>
      <c r="J14" s="54" t="s">
        <v>82</v>
      </c>
      <c r="K14" s="56" t="s">
        <v>83</v>
      </c>
      <c r="L14" s="54" t="s">
        <v>84</v>
      </c>
      <c r="M14" s="54"/>
      <c r="O14" s="42" t="s">
        <v>120</v>
      </c>
      <c r="P14" s="43">
        <f>COUNTIF(D4:D14,"Operations &amp; Logistics")</f>
        <v>0</v>
      </c>
    </row>
    <row r="15" spans="1:16" ht="19.95" customHeight="1" x14ac:dyDescent="0.3">
      <c r="O15" s="45" t="s">
        <v>122</v>
      </c>
      <c r="P15" s="46">
        <f>COUNTIF(D4:D14,"Management Trainee / Admin")</f>
        <v>0</v>
      </c>
    </row>
    <row r="16" spans="1:16" ht="19.95" customHeight="1" x14ac:dyDescent="0.3">
      <c r="O16" s="47" t="s">
        <v>125</v>
      </c>
      <c r="P16" s="48">
        <f>COUNTIF(D4:D14,"Cybersecurity")</f>
        <v>0</v>
      </c>
    </row>
    <row r="17" spans="15:16" ht="19.95" customHeight="1" x14ac:dyDescent="0.3">
      <c r="O17" s="49" t="s">
        <v>88</v>
      </c>
      <c r="P17" s="50">
        <f>COUNTIF(D4:D14,"General / Others")</f>
        <v>2</v>
      </c>
    </row>
  </sheetData>
  <autoFilter ref="A3:M14" xr:uid="{00000000-0009-0000-0000-000002000000}"/>
  <mergeCells count="3">
    <mergeCell ref="O1:P1"/>
    <mergeCell ref="A2:M2"/>
    <mergeCell ref="A1:M1"/>
  </mergeCells>
  <dataValidations count="1">
    <dataValidation type="list" allowBlank="1" sqref="J4:J34" xr:uid="{00000000-0002-0000-02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200-000000000000}"/>
    <hyperlink ref="K5" r:id="rId2" xr:uid="{00000000-0004-0000-0200-000001000000}"/>
    <hyperlink ref="K6" r:id="rId3" xr:uid="{00000000-0004-0000-0200-000002000000}"/>
    <hyperlink ref="K7" r:id="rId4" xr:uid="{00000000-0004-0000-0200-000003000000}"/>
    <hyperlink ref="K8" r:id="rId5" xr:uid="{00000000-0004-0000-0200-000004000000}"/>
    <hyperlink ref="K9" r:id="rId6" xr:uid="{00000000-0004-0000-0200-000005000000}"/>
    <hyperlink ref="K10" r:id="rId7" xr:uid="{00000000-0004-0000-0200-000006000000}"/>
    <hyperlink ref="K11" r:id="rId8" xr:uid="{00000000-0004-0000-0200-000007000000}"/>
    <hyperlink ref="K12" r:id="rId9" xr:uid="{00000000-0004-0000-0200-000008000000}"/>
    <hyperlink ref="K13" r:id="rId10" xr:uid="{00000000-0004-0000-0200-000009000000}"/>
    <hyperlink ref="K14" r:id="rId11" xr:uid="{00000000-0004-0000-0200-00000A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1A4A"/>
  </sheetPr>
  <dimension ref="A1:P54"/>
  <sheetViews>
    <sheetView topLeftCell="H1" workbookViewId="0">
      <pane ySplit="3" topLeftCell="A49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11" t="s">
        <v>160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09" t="s">
        <v>57</v>
      </c>
      <c r="P1" s="101"/>
    </row>
    <row r="2" spans="1:16" ht="19.95" customHeight="1" x14ac:dyDescent="0.3">
      <c r="A2" s="110" t="s">
        <v>161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COUNTIF(D4:D54,"Software Development")</f>
        <v>38</v>
      </c>
    </row>
    <row r="3" spans="1:16" ht="19.95" customHeight="1" x14ac:dyDescent="0.3">
      <c r="A3" s="59" t="s">
        <v>60</v>
      </c>
      <c r="B3" s="59" t="s">
        <v>61</v>
      </c>
      <c r="C3" s="59" t="s">
        <v>62</v>
      </c>
      <c r="D3" s="59" t="s">
        <v>63</v>
      </c>
      <c r="E3" s="59" t="s">
        <v>64</v>
      </c>
      <c r="F3" s="59" t="s">
        <v>65</v>
      </c>
      <c r="G3" s="59" t="s">
        <v>66</v>
      </c>
      <c r="H3" s="59" t="s">
        <v>67</v>
      </c>
      <c r="I3" s="59" t="s">
        <v>68</v>
      </c>
      <c r="J3" s="59" t="s">
        <v>69</v>
      </c>
      <c r="K3" s="59" t="s">
        <v>70</v>
      </c>
      <c r="L3" s="59" t="s">
        <v>71</v>
      </c>
      <c r="M3" s="59" t="s">
        <v>72</v>
      </c>
      <c r="O3" s="10" t="s">
        <v>73</v>
      </c>
      <c r="P3" s="11">
        <f>COUNTIF(D4:D54,"AI / ML / Data Science")</f>
        <v>0</v>
      </c>
    </row>
    <row r="4" spans="1:16" ht="19.95" customHeight="1" x14ac:dyDescent="0.3">
      <c r="A4" s="60">
        <v>1</v>
      </c>
      <c r="B4" s="61" t="s">
        <v>162</v>
      </c>
      <c r="C4" s="60" t="s">
        <v>163</v>
      </c>
      <c r="D4" s="62" t="s">
        <v>99</v>
      </c>
      <c r="E4" s="61" t="s">
        <v>164</v>
      </c>
      <c r="F4" s="61" t="s">
        <v>165</v>
      </c>
      <c r="G4" s="61" t="s">
        <v>166</v>
      </c>
      <c r="H4" s="61" t="s">
        <v>80</v>
      </c>
      <c r="I4" s="61" t="s">
        <v>167</v>
      </c>
      <c r="J4" s="61" t="s">
        <v>82</v>
      </c>
      <c r="K4" s="63" t="s">
        <v>83</v>
      </c>
      <c r="L4" s="61" t="s">
        <v>168</v>
      </c>
      <c r="M4" s="61"/>
      <c r="O4" s="16" t="s">
        <v>85</v>
      </c>
      <c r="P4" s="17">
        <f>COUNTIF(D4:D54,"QA / Testing / Automation")</f>
        <v>0</v>
      </c>
    </row>
    <row r="5" spans="1:16" ht="19.95" customHeight="1" x14ac:dyDescent="0.3">
      <c r="A5" s="18">
        <v>2</v>
      </c>
      <c r="B5" s="19" t="s">
        <v>169</v>
      </c>
      <c r="C5" s="18" t="s">
        <v>170</v>
      </c>
      <c r="D5" s="62" t="s">
        <v>99</v>
      </c>
      <c r="E5" s="19" t="s">
        <v>164</v>
      </c>
      <c r="F5" s="19" t="s">
        <v>165</v>
      </c>
      <c r="G5" s="19" t="s">
        <v>166</v>
      </c>
      <c r="H5" s="19" t="s">
        <v>80</v>
      </c>
      <c r="I5" s="19" t="s">
        <v>167</v>
      </c>
      <c r="J5" s="19" t="s">
        <v>82</v>
      </c>
      <c r="K5" s="21" t="s">
        <v>83</v>
      </c>
      <c r="L5" s="19" t="s">
        <v>168</v>
      </c>
      <c r="M5" s="19"/>
      <c r="O5" s="22" t="s">
        <v>89</v>
      </c>
      <c r="P5" s="23">
        <f>COUNTIF(D4:D54,"DevOps / Cloud / Security")</f>
        <v>0</v>
      </c>
    </row>
    <row r="6" spans="1:16" ht="19.95" customHeight="1" x14ac:dyDescent="0.3">
      <c r="A6" s="60">
        <v>3</v>
      </c>
      <c r="B6" s="61" t="s">
        <v>171</v>
      </c>
      <c r="C6" s="60" t="s">
        <v>172</v>
      </c>
      <c r="D6" s="62" t="s">
        <v>99</v>
      </c>
      <c r="E6" s="61" t="s">
        <v>164</v>
      </c>
      <c r="F6" s="61" t="s">
        <v>165</v>
      </c>
      <c r="G6" s="61" t="s">
        <v>166</v>
      </c>
      <c r="H6" s="61" t="s">
        <v>80</v>
      </c>
      <c r="I6" s="61" t="s">
        <v>167</v>
      </c>
      <c r="J6" s="61" t="s">
        <v>82</v>
      </c>
      <c r="K6" s="63" t="s">
        <v>83</v>
      </c>
      <c r="L6" s="61" t="s">
        <v>168</v>
      </c>
      <c r="M6" s="61"/>
      <c r="O6" s="24" t="s">
        <v>91</v>
      </c>
      <c r="P6" s="25">
        <f>COUNTIF(D4:D54,"Web Development")</f>
        <v>0</v>
      </c>
    </row>
    <row r="7" spans="1:16" ht="19.95" customHeight="1" x14ac:dyDescent="0.3">
      <c r="A7" s="18">
        <v>4</v>
      </c>
      <c r="B7" s="19" t="s">
        <v>173</v>
      </c>
      <c r="C7" s="18" t="s">
        <v>174</v>
      </c>
      <c r="D7" s="62" t="s">
        <v>99</v>
      </c>
      <c r="E7" s="19" t="s">
        <v>164</v>
      </c>
      <c r="F7" s="19" t="s">
        <v>165</v>
      </c>
      <c r="G7" s="19" t="s">
        <v>166</v>
      </c>
      <c r="H7" s="19" t="s">
        <v>80</v>
      </c>
      <c r="I7" s="19" t="s">
        <v>167</v>
      </c>
      <c r="J7" s="19" t="s">
        <v>82</v>
      </c>
      <c r="K7" s="21" t="s">
        <v>83</v>
      </c>
      <c r="L7" s="19" t="s">
        <v>168</v>
      </c>
      <c r="M7" s="19"/>
      <c r="O7" s="26" t="s">
        <v>94</v>
      </c>
      <c r="P7" s="27">
        <f>COUNTIF(D4:D54,"Mobile Development")</f>
        <v>0</v>
      </c>
    </row>
    <row r="8" spans="1:16" ht="19.95" customHeight="1" x14ac:dyDescent="0.3">
      <c r="A8" s="60">
        <v>5</v>
      </c>
      <c r="B8" s="61" t="s">
        <v>175</v>
      </c>
      <c r="C8" s="60" t="s">
        <v>176</v>
      </c>
      <c r="D8" s="62" t="s">
        <v>99</v>
      </c>
      <c r="E8" s="61" t="s">
        <v>164</v>
      </c>
      <c r="F8" s="61" t="s">
        <v>165</v>
      </c>
      <c r="G8" s="61" t="s">
        <v>166</v>
      </c>
      <c r="H8" s="61" t="s">
        <v>80</v>
      </c>
      <c r="I8" s="61" t="s">
        <v>167</v>
      </c>
      <c r="J8" s="61" t="s">
        <v>82</v>
      </c>
      <c r="K8" s="63" t="s">
        <v>83</v>
      </c>
      <c r="L8" s="61" t="s">
        <v>168</v>
      </c>
      <c r="M8" s="61"/>
      <c r="O8" s="28" t="s">
        <v>76</v>
      </c>
      <c r="P8" s="29">
        <f>COUNTIF(D4:D54,"Data &amp; Analytics")</f>
        <v>0</v>
      </c>
    </row>
    <row r="9" spans="1:16" ht="19.95" customHeight="1" x14ac:dyDescent="0.3">
      <c r="A9" s="18">
        <v>6</v>
      </c>
      <c r="B9" s="19" t="s">
        <v>177</v>
      </c>
      <c r="C9" s="18" t="s">
        <v>178</v>
      </c>
      <c r="D9" s="62" t="s">
        <v>99</v>
      </c>
      <c r="E9" s="19" t="s">
        <v>164</v>
      </c>
      <c r="F9" s="19" t="s">
        <v>165</v>
      </c>
      <c r="G9" s="19" t="s">
        <v>166</v>
      </c>
      <c r="H9" s="19" t="s">
        <v>80</v>
      </c>
      <c r="I9" s="19" t="s">
        <v>167</v>
      </c>
      <c r="J9" s="19" t="s">
        <v>82</v>
      </c>
      <c r="K9" s="21" t="s">
        <v>83</v>
      </c>
      <c r="L9" s="19" t="s">
        <v>168</v>
      </c>
      <c r="M9" s="19"/>
      <c r="O9" s="30" t="s">
        <v>99</v>
      </c>
      <c r="P9" s="31">
        <f>COUNTIF(D4:D54,"BPO / Customer Service")</f>
        <v>8</v>
      </c>
    </row>
    <row r="10" spans="1:16" ht="19.95" customHeight="1" x14ac:dyDescent="0.3">
      <c r="A10" s="60">
        <v>7</v>
      </c>
      <c r="B10" s="61" t="s">
        <v>179</v>
      </c>
      <c r="C10" s="60" t="s">
        <v>180</v>
      </c>
      <c r="D10" s="62" t="s">
        <v>99</v>
      </c>
      <c r="E10" s="61" t="s">
        <v>164</v>
      </c>
      <c r="F10" s="61" t="s">
        <v>165</v>
      </c>
      <c r="G10" s="61" t="s">
        <v>166</v>
      </c>
      <c r="H10" s="61" t="s">
        <v>80</v>
      </c>
      <c r="I10" s="61" t="s">
        <v>167</v>
      </c>
      <c r="J10" s="61" t="s">
        <v>82</v>
      </c>
      <c r="K10" s="63" t="s">
        <v>83</v>
      </c>
      <c r="L10" s="61" t="s">
        <v>168</v>
      </c>
      <c r="M10" s="61"/>
      <c r="O10" s="32" t="s">
        <v>104</v>
      </c>
      <c r="P10" s="33">
        <f>COUNTIF(D4:D54,"Sales &amp; Business Dev")</f>
        <v>0</v>
      </c>
    </row>
    <row r="11" spans="1:16" ht="19.95" customHeight="1" x14ac:dyDescent="0.3">
      <c r="A11" s="18">
        <v>8</v>
      </c>
      <c r="B11" s="19" t="s">
        <v>181</v>
      </c>
      <c r="C11" s="18" t="s">
        <v>182</v>
      </c>
      <c r="D11" s="62" t="s">
        <v>99</v>
      </c>
      <c r="E11" s="19" t="s">
        <v>164</v>
      </c>
      <c r="F11" s="19" t="s">
        <v>165</v>
      </c>
      <c r="G11" s="19" t="s">
        <v>166</v>
      </c>
      <c r="H11" s="19" t="s">
        <v>80</v>
      </c>
      <c r="I11" s="19" t="s">
        <v>167</v>
      </c>
      <c r="J11" s="19" t="s">
        <v>82</v>
      </c>
      <c r="K11" s="21" t="s">
        <v>83</v>
      </c>
      <c r="L11" s="19" t="s">
        <v>168</v>
      </c>
      <c r="M11" s="19"/>
      <c r="O11" s="35" t="s">
        <v>107</v>
      </c>
      <c r="P11" s="36">
        <f>COUNTIF(D4:D54,"Marketing &amp; Content")</f>
        <v>0</v>
      </c>
    </row>
    <row r="12" spans="1:16" ht="19.95" customHeight="1" x14ac:dyDescent="0.3">
      <c r="A12" s="60">
        <v>9</v>
      </c>
      <c r="B12" s="61" t="s">
        <v>183</v>
      </c>
      <c r="C12" s="60" t="s">
        <v>184</v>
      </c>
      <c r="D12" s="57" t="s">
        <v>117</v>
      </c>
      <c r="E12" s="61" t="s">
        <v>164</v>
      </c>
      <c r="F12" s="61" t="s">
        <v>165</v>
      </c>
      <c r="G12" s="61" t="s">
        <v>185</v>
      </c>
      <c r="H12" s="61" t="s">
        <v>80</v>
      </c>
      <c r="I12" s="61" t="s">
        <v>167</v>
      </c>
      <c r="J12" s="61" t="s">
        <v>82</v>
      </c>
      <c r="K12" s="63" t="s">
        <v>83</v>
      </c>
      <c r="L12" s="61" t="s">
        <v>168</v>
      </c>
      <c r="M12" s="61"/>
      <c r="O12" s="37" t="s">
        <v>112</v>
      </c>
      <c r="P12" s="38">
        <f>COUNTIF(D4:D54,"HR &amp; Recruitment")</f>
        <v>0</v>
      </c>
    </row>
    <row r="13" spans="1:16" ht="19.95" customHeight="1" x14ac:dyDescent="0.3">
      <c r="A13" s="18">
        <v>10</v>
      </c>
      <c r="B13" s="19" t="s">
        <v>186</v>
      </c>
      <c r="C13" s="18" t="s">
        <v>187</v>
      </c>
      <c r="D13" s="57" t="s">
        <v>117</v>
      </c>
      <c r="E13" s="19" t="s">
        <v>164</v>
      </c>
      <c r="F13" s="19" t="s">
        <v>165</v>
      </c>
      <c r="G13" s="19" t="s">
        <v>185</v>
      </c>
      <c r="H13" s="19" t="s">
        <v>80</v>
      </c>
      <c r="I13" s="19" t="s">
        <v>167</v>
      </c>
      <c r="J13" s="19" t="s">
        <v>82</v>
      </c>
      <c r="K13" s="21" t="s">
        <v>83</v>
      </c>
      <c r="L13" s="19" t="s">
        <v>168</v>
      </c>
      <c r="M13" s="19"/>
      <c r="O13" s="40" t="s">
        <v>117</v>
      </c>
      <c r="P13" s="41">
        <f>COUNTIF(D4:D54,"Finance &amp; Accounts")</f>
        <v>5</v>
      </c>
    </row>
    <row r="14" spans="1:16" ht="19.95" customHeight="1" x14ac:dyDescent="0.3">
      <c r="A14" s="60">
        <v>11</v>
      </c>
      <c r="B14" s="61" t="s">
        <v>188</v>
      </c>
      <c r="C14" s="60" t="s">
        <v>189</v>
      </c>
      <c r="D14" s="57" t="s">
        <v>117</v>
      </c>
      <c r="E14" s="61" t="s">
        <v>164</v>
      </c>
      <c r="F14" s="61" t="s">
        <v>165</v>
      </c>
      <c r="G14" s="61" t="s">
        <v>185</v>
      </c>
      <c r="H14" s="61" t="s">
        <v>80</v>
      </c>
      <c r="I14" s="61" t="s">
        <v>167</v>
      </c>
      <c r="J14" s="61" t="s">
        <v>82</v>
      </c>
      <c r="K14" s="63" t="s">
        <v>83</v>
      </c>
      <c r="L14" s="61" t="s">
        <v>168</v>
      </c>
      <c r="M14" s="61"/>
      <c r="O14" s="42" t="s">
        <v>120</v>
      </c>
      <c r="P14" s="43">
        <f>COUNTIF(D4:D54,"Operations &amp; Logistics")</f>
        <v>0</v>
      </c>
    </row>
    <row r="15" spans="1:16" ht="19.95" customHeight="1" x14ac:dyDescent="0.3">
      <c r="A15" s="18">
        <v>12</v>
      </c>
      <c r="B15" s="19" t="s">
        <v>190</v>
      </c>
      <c r="C15" s="18" t="s">
        <v>191</v>
      </c>
      <c r="D15" s="57" t="s">
        <v>117</v>
      </c>
      <c r="E15" s="19" t="s">
        <v>164</v>
      </c>
      <c r="F15" s="19" t="s">
        <v>165</v>
      </c>
      <c r="G15" s="19" t="s">
        <v>185</v>
      </c>
      <c r="H15" s="19" t="s">
        <v>80</v>
      </c>
      <c r="I15" s="19" t="s">
        <v>167</v>
      </c>
      <c r="J15" s="19" t="s">
        <v>82</v>
      </c>
      <c r="K15" s="21" t="s">
        <v>83</v>
      </c>
      <c r="L15" s="19" t="s">
        <v>168</v>
      </c>
      <c r="M15" s="19"/>
      <c r="O15" s="45" t="s">
        <v>122</v>
      </c>
      <c r="P15" s="46">
        <f>COUNTIF(D4:D54,"Management Trainee / Admin")</f>
        <v>0</v>
      </c>
    </row>
    <row r="16" spans="1:16" ht="19.95" customHeight="1" x14ac:dyDescent="0.3">
      <c r="A16" s="60">
        <v>13</v>
      </c>
      <c r="B16" s="61" t="s">
        <v>192</v>
      </c>
      <c r="C16" s="60" t="s">
        <v>193</v>
      </c>
      <c r="D16" s="57" t="s">
        <v>117</v>
      </c>
      <c r="E16" s="61" t="s">
        <v>164</v>
      </c>
      <c r="F16" s="61" t="s">
        <v>165</v>
      </c>
      <c r="G16" s="61" t="s">
        <v>185</v>
      </c>
      <c r="H16" s="61" t="s">
        <v>80</v>
      </c>
      <c r="I16" s="61" t="s">
        <v>167</v>
      </c>
      <c r="J16" s="61" t="s">
        <v>82</v>
      </c>
      <c r="K16" s="63" t="s">
        <v>83</v>
      </c>
      <c r="L16" s="61" t="s">
        <v>168</v>
      </c>
      <c r="M16" s="61"/>
      <c r="O16" s="47" t="s">
        <v>125</v>
      </c>
      <c r="P16" s="48">
        <f>COUNTIF(D4:D54,"Cybersecurity")</f>
        <v>0</v>
      </c>
    </row>
    <row r="17" spans="1:16" ht="19.95" customHeight="1" x14ac:dyDescent="0.3">
      <c r="A17" s="18">
        <v>14</v>
      </c>
      <c r="B17" s="19" t="s">
        <v>194</v>
      </c>
      <c r="C17" s="18" t="s">
        <v>195</v>
      </c>
      <c r="D17" s="44" t="s">
        <v>59</v>
      </c>
      <c r="E17" s="19" t="s">
        <v>164</v>
      </c>
      <c r="F17" s="19" t="s">
        <v>165</v>
      </c>
      <c r="G17" s="19" t="s">
        <v>196</v>
      </c>
      <c r="H17" s="19" t="s">
        <v>80</v>
      </c>
      <c r="I17" s="19" t="s">
        <v>167</v>
      </c>
      <c r="J17" s="19" t="s">
        <v>82</v>
      </c>
      <c r="K17" s="21" t="s">
        <v>83</v>
      </c>
      <c r="L17" s="19" t="s">
        <v>168</v>
      </c>
      <c r="M17" s="19"/>
      <c r="O17" s="49" t="s">
        <v>88</v>
      </c>
      <c r="P17" s="50">
        <f>COUNTIF(D4:D54,"General / Others")</f>
        <v>0</v>
      </c>
    </row>
    <row r="18" spans="1:16" ht="19.95" customHeight="1" x14ac:dyDescent="0.3">
      <c r="A18" s="60">
        <v>15</v>
      </c>
      <c r="B18" s="61" t="s">
        <v>197</v>
      </c>
      <c r="C18" s="60" t="s">
        <v>198</v>
      </c>
      <c r="D18" s="44" t="s">
        <v>59</v>
      </c>
      <c r="E18" s="61" t="s">
        <v>164</v>
      </c>
      <c r="F18" s="61" t="s">
        <v>165</v>
      </c>
      <c r="G18" s="61" t="s">
        <v>196</v>
      </c>
      <c r="H18" s="61" t="s">
        <v>80</v>
      </c>
      <c r="I18" s="61" t="s">
        <v>167</v>
      </c>
      <c r="J18" s="61" t="s">
        <v>82</v>
      </c>
      <c r="K18" s="63" t="s">
        <v>83</v>
      </c>
      <c r="L18" s="61" t="s">
        <v>168</v>
      </c>
      <c r="M18" s="61"/>
    </row>
    <row r="19" spans="1:16" ht="19.95" customHeight="1" x14ac:dyDescent="0.3">
      <c r="A19" s="18">
        <v>16</v>
      </c>
      <c r="B19" s="19" t="s">
        <v>199</v>
      </c>
      <c r="C19" s="18" t="s">
        <v>200</v>
      </c>
      <c r="D19" s="44" t="s">
        <v>59</v>
      </c>
      <c r="E19" s="19" t="s">
        <v>164</v>
      </c>
      <c r="F19" s="19" t="s">
        <v>165</v>
      </c>
      <c r="G19" s="19" t="s">
        <v>196</v>
      </c>
      <c r="H19" s="19" t="s">
        <v>80</v>
      </c>
      <c r="I19" s="19" t="s">
        <v>167</v>
      </c>
      <c r="J19" s="19" t="s">
        <v>82</v>
      </c>
      <c r="K19" s="21" t="s">
        <v>83</v>
      </c>
      <c r="L19" s="19" t="s">
        <v>168</v>
      </c>
      <c r="M19" s="19"/>
    </row>
    <row r="20" spans="1:16" ht="19.95" customHeight="1" x14ac:dyDescent="0.3">
      <c r="A20" s="60">
        <v>17</v>
      </c>
      <c r="B20" s="61" t="s">
        <v>201</v>
      </c>
      <c r="C20" s="60" t="s">
        <v>202</v>
      </c>
      <c r="D20" s="44" t="s">
        <v>59</v>
      </c>
      <c r="E20" s="61" t="s">
        <v>164</v>
      </c>
      <c r="F20" s="61" t="s">
        <v>165</v>
      </c>
      <c r="G20" s="61" t="s">
        <v>196</v>
      </c>
      <c r="H20" s="61" t="s">
        <v>80</v>
      </c>
      <c r="I20" s="61" t="s">
        <v>167</v>
      </c>
      <c r="J20" s="61" t="s">
        <v>82</v>
      </c>
      <c r="K20" s="63" t="s">
        <v>83</v>
      </c>
      <c r="L20" s="61" t="s">
        <v>168</v>
      </c>
      <c r="M20" s="61"/>
    </row>
    <row r="21" spans="1:16" ht="19.95" customHeight="1" x14ac:dyDescent="0.3">
      <c r="A21" s="18">
        <v>18</v>
      </c>
      <c r="B21" s="19" t="s">
        <v>203</v>
      </c>
      <c r="C21" s="18" t="s">
        <v>204</v>
      </c>
      <c r="D21" s="44" t="s">
        <v>59</v>
      </c>
      <c r="E21" s="19" t="s">
        <v>164</v>
      </c>
      <c r="F21" s="19" t="s">
        <v>165</v>
      </c>
      <c r="G21" s="19" t="s">
        <v>196</v>
      </c>
      <c r="H21" s="19" t="s">
        <v>80</v>
      </c>
      <c r="I21" s="19" t="s">
        <v>167</v>
      </c>
      <c r="J21" s="19" t="s">
        <v>82</v>
      </c>
      <c r="K21" s="21" t="s">
        <v>83</v>
      </c>
      <c r="L21" s="19" t="s">
        <v>168</v>
      </c>
      <c r="M21" s="19"/>
    </row>
    <row r="22" spans="1:16" ht="19.95" customHeight="1" x14ac:dyDescent="0.3">
      <c r="A22" s="60">
        <v>19</v>
      </c>
      <c r="B22" s="61" t="s">
        <v>205</v>
      </c>
      <c r="C22" s="60" t="s">
        <v>206</v>
      </c>
      <c r="D22" s="44" t="s">
        <v>59</v>
      </c>
      <c r="E22" s="61" t="s">
        <v>164</v>
      </c>
      <c r="F22" s="61" t="s">
        <v>165</v>
      </c>
      <c r="G22" s="61" t="s">
        <v>196</v>
      </c>
      <c r="H22" s="61" t="s">
        <v>80</v>
      </c>
      <c r="I22" s="61" t="s">
        <v>167</v>
      </c>
      <c r="J22" s="61" t="s">
        <v>82</v>
      </c>
      <c r="K22" s="63" t="s">
        <v>83</v>
      </c>
      <c r="L22" s="61" t="s">
        <v>168</v>
      </c>
      <c r="M22" s="61"/>
    </row>
    <row r="23" spans="1:16" ht="19.95" customHeight="1" x14ac:dyDescent="0.3">
      <c r="A23" s="18">
        <v>20</v>
      </c>
      <c r="B23" s="19" t="s">
        <v>207</v>
      </c>
      <c r="C23" s="18" t="s">
        <v>208</v>
      </c>
      <c r="D23" s="44" t="s">
        <v>59</v>
      </c>
      <c r="E23" s="19" t="s">
        <v>164</v>
      </c>
      <c r="F23" s="19" t="s">
        <v>165</v>
      </c>
      <c r="G23" s="19" t="s">
        <v>196</v>
      </c>
      <c r="H23" s="19" t="s">
        <v>80</v>
      </c>
      <c r="I23" s="19" t="s">
        <v>167</v>
      </c>
      <c r="J23" s="19" t="s">
        <v>82</v>
      </c>
      <c r="K23" s="21" t="s">
        <v>83</v>
      </c>
      <c r="L23" s="19" t="s">
        <v>168</v>
      </c>
      <c r="M23" s="19"/>
    </row>
    <row r="24" spans="1:16" ht="19.95" customHeight="1" x14ac:dyDescent="0.3">
      <c r="A24" s="60">
        <v>21</v>
      </c>
      <c r="B24" s="61" t="s">
        <v>209</v>
      </c>
      <c r="C24" s="60" t="s">
        <v>210</v>
      </c>
      <c r="D24" s="44" t="s">
        <v>59</v>
      </c>
      <c r="E24" s="61" t="s">
        <v>164</v>
      </c>
      <c r="F24" s="61" t="s">
        <v>165</v>
      </c>
      <c r="G24" s="61" t="s">
        <v>196</v>
      </c>
      <c r="H24" s="61" t="s">
        <v>80</v>
      </c>
      <c r="I24" s="61" t="s">
        <v>167</v>
      </c>
      <c r="J24" s="61" t="s">
        <v>82</v>
      </c>
      <c r="K24" s="63" t="s">
        <v>83</v>
      </c>
      <c r="L24" s="61" t="s">
        <v>168</v>
      </c>
      <c r="M24" s="61"/>
    </row>
    <row r="25" spans="1:16" ht="19.95" customHeight="1" x14ac:dyDescent="0.3">
      <c r="A25" s="18">
        <v>22</v>
      </c>
      <c r="B25" s="19" t="s">
        <v>211</v>
      </c>
      <c r="C25" s="18" t="s">
        <v>212</v>
      </c>
      <c r="D25" s="44" t="s">
        <v>59</v>
      </c>
      <c r="E25" s="19" t="s">
        <v>164</v>
      </c>
      <c r="F25" s="19" t="s">
        <v>165</v>
      </c>
      <c r="G25" s="19" t="s">
        <v>196</v>
      </c>
      <c r="H25" s="19" t="s">
        <v>80</v>
      </c>
      <c r="I25" s="19" t="s">
        <v>167</v>
      </c>
      <c r="J25" s="19" t="s">
        <v>82</v>
      </c>
      <c r="K25" s="21" t="s">
        <v>83</v>
      </c>
      <c r="L25" s="19" t="s">
        <v>168</v>
      </c>
      <c r="M25" s="19"/>
    </row>
    <row r="26" spans="1:16" ht="19.95" customHeight="1" x14ac:dyDescent="0.3">
      <c r="A26" s="60">
        <v>23</v>
      </c>
      <c r="B26" s="61" t="s">
        <v>213</v>
      </c>
      <c r="C26" s="60" t="s">
        <v>214</v>
      </c>
      <c r="D26" s="44" t="s">
        <v>59</v>
      </c>
      <c r="E26" s="61" t="s">
        <v>164</v>
      </c>
      <c r="F26" s="61" t="s">
        <v>165</v>
      </c>
      <c r="G26" s="61" t="s">
        <v>196</v>
      </c>
      <c r="H26" s="61" t="s">
        <v>80</v>
      </c>
      <c r="I26" s="61" t="s">
        <v>167</v>
      </c>
      <c r="J26" s="61" t="s">
        <v>82</v>
      </c>
      <c r="K26" s="63" t="s">
        <v>83</v>
      </c>
      <c r="L26" s="61" t="s">
        <v>168</v>
      </c>
      <c r="M26" s="61"/>
    </row>
    <row r="27" spans="1:16" ht="19.95" customHeight="1" x14ac:dyDescent="0.3">
      <c r="A27" s="18">
        <v>24</v>
      </c>
      <c r="B27" s="19" t="s">
        <v>215</v>
      </c>
      <c r="C27" s="18" t="s">
        <v>216</v>
      </c>
      <c r="D27" s="44" t="s">
        <v>59</v>
      </c>
      <c r="E27" s="19" t="s">
        <v>164</v>
      </c>
      <c r="F27" s="19" t="s">
        <v>165</v>
      </c>
      <c r="G27" s="19" t="s">
        <v>196</v>
      </c>
      <c r="H27" s="19" t="s">
        <v>80</v>
      </c>
      <c r="I27" s="19" t="s">
        <v>167</v>
      </c>
      <c r="J27" s="19" t="s">
        <v>82</v>
      </c>
      <c r="K27" s="21" t="s">
        <v>83</v>
      </c>
      <c r="L27" s="19" t="s">
        <v>168</v>
      </c>
      <c r="M27" s="19"/>
    </row>
    <row r="28" spans="1:16" ht="19.95" customHeight="1" x14ac:dyDescent="0.3">
      <c r="A28" s="60">
        <v>25</v>
      </c>
      <c r="B28" s="61" t="s">
        <v>217</v>
      </c>
      <c r="C28" s="60" t="s">
        <v>218</v>
      </c>
      <c r="D28" s="44" t="s">
        <v>59</v>
      </c>
      <c r="E28" s="61" t="s">
        <v>164</v>
      </c>
      <c r="F28" s="61" t="s">
        <v>165</v>
      </c>
      <c r="G28" s="61" t="s">
        <v>196</v>
      </c>
      <c r="H28" s="61" t="s">
        <v>80</v>
      </c>
      <c r="I28" s="61" t="s">
        <v>167</v>
      </c>
      <c r="J28" s="61" t="s">
        <v>82</v>
      </c>
      <c r="K28" s="63" t="s">
        <v>83</v>
      </c>
      <c r="L28" s="61" t="s">
        <v>168</v>
      </c>
      <c r="M28" s="61"/>
    </row>
    <row r="29" spans="1:16" ht="19.95" customHeight="1" x14ac:dyDescent="0.3">
      <c r="A29" s="18">
        <v>26</v>
      </c>
      <c r="B29" s="19" t="s">
        <v>219</v>
      </c>
      <c r="C29" s="18" t="s">
        <v>220</v>
      </c>
      <c r="D29" s="44" t="s">
        <v>59</v>
      </c>
      <c r="E29" s="19" t="s">
        <v>164</v>
      </c>
      <c r="F29" s="19" t="s">
        <v>165</v>
      </c>
      <c r="G29" s="19" t="s">
        <v>196</v>
      </c>
      <c r="H29" s="19" t="s">
        <v>80</v>
      </c>
      <c r="I29" s="19" t="s">
        <v>167</v>
      </c>
      <c r="J29" s="19" t="s">
        <v>82</v>
      </c>
      <c r="K29" s="21" t="s">
        <v>83</v>
      </c>
      <c r="L29" s="19" t="s">
        <v>168</v>
      </c>
      <c r="M29" s="19"/>
    </row>
    <row r="30" spans="1:16" ht="19.95" customHeight="1" x14ac:dyDescent="0.3">
      <c r="A30" s="60">
        <v>27</v>
      </c>
      <c r="B30" s="61" t="s">
        <v>221</v>
      </c>
      <c r="C30" s="60" t="s">
        <v>222</v>
      </c>
      <c r="D30" s="44" t="s">
        <v>59</v>
      </c>
      <c r="E30" s="61" t="s">
        <v>164</v>
      </c>
      <c r="F30" s="61" t="s">
        <v>165</v>
      </c>
      <c r="G30" s="61" t="s">
        <v>196</v>
      </c>
      <c r="H30" s="61" t="s">
        <v>80</v>
      </c>
      <c r="I30" s="61" t="s">
        <v>167</v>
      </c>
      <c r="J30" s="61" t="s">
        <v>82</v>
      </c>
      <c r="K30" s="63" t="s">
        <v>83</v>
      </c>
      <c r="L30" s="61" t="s">
        <v>168</v>
      </c>
      <c r="M30" s="61"/>
    </row>
    <row r="31" spans="1:16" ht="19.95" customHeight="1" x14ac:dyDescent="0.3">
      <c r="A31" s="18">
        <v>28</v>
      </c>
      <c r="B31" s="19" t="s">
        <v>223</v>
      </c>
      <c r="C31" s="18" t="s">
        <v>224</v>
      </c>
      <c r="D31" s="44" t="s">
        <v>59</v>
      </c>
      <c r="E31" s="19" t="s">
        <v>164</v>
      </c>
      <c r="F31" s="19" t="s">
        <v>165</v>
      </c>
      <c r="G31" s="19" t="s">
        <v>196</v>
      </c>
      <c r="H31" s="19" t="s">
        <v>80</v>
      </c>
      <c r="I31" s="19" t="s">
        <v>167</v>
      </c>
      <c r="J31" s="19" t="s">
        <v>82</v>
      </c>
      <c r="K31" s="21" t="s">
        <v>83</v>
      </c>
      <c r="L31" s="19" t="s">
        <v>168</v>
      </c>
      <c r="M31" s="19"/>
    </row>
    <row r="32" spans="1:16" ht="19.95" customHeight="1" x14ac:dyDescent="0.3">
      <c r="A32" s="60">
        <v>29</v>
      </c>
      <c r="B32" s="61" t="s">
        <v>225</v>
      </c>
      <c r="C32" s="60" t="s">
        <v>226</v>
      </c>
      <c r="D32" s="44" t="s">
        <v>59</v>
      </c>
      <c r="E32" s="61" t="s">
        <v>164</v>
      </c>
      <c r="F32" s="61" t="s">
        <v>165</v>
      </c>
      <c r="G32" s="61" t="s">
        <v>196</v>
      </c>
      <c r="H32" s="61" t="s">
        <v>80</v>
      </c>
      <c r="I32" s="61" t="s">
        <v>167</v>
      </c>
      <c r="J32" s="61" t="s">
        <v>82</v>
      </c>
      <c r="K32" s="63" t="s">
        <v>83</v>
      </c>
      <c r="L32" s="61" t="s">
        <v>168</v>
      </c>
      <c r="M32" s="61"/>
    </row>
    <row r="33" spans="1:13" ht="19.95" customHeight="1" x14ac:dyDescent="0.3">
      <c r="A33" s="18">
        <v>30</v>
      </c>
      <c r="B33" s="19" t="s">
        <v>227</v>
      </c>
      <c r="C33" s="18" t="s">
        <v>228</v>
      </c>
      <c r="D33" s="44" t="s">
        <v>59</v>
      </c>
      <c r="E33" s="19" t="s">
        <v>164</v>
      </c>
      <c r="F33" s="19" t="s">
        <v>165</v>
      </c>
      <c r="G33" s="19" t="s">
        <v>196</v>
      </c>
      <c r="H33" s="19" t="s">
        <v>80</v>
      </c>
      <c r="I33" s="19" t="s">
        <v>167</v>
      </c>
      <c r="J33" s="19" t="s">
        <v>82</v>
      </c>
      <c r="K33" s="21" t="s">
        <v>83</v>
      </c>
      <c r="L33" s="19" t="s">
        <v>168</v>
      </c>
      <c r="M33" s="19"/>
    </row>
    <row r="34" spans="1:13" ht="19.95" customHeight="1" x14ac:dyDescent="0.3">
      <c r="A34" s="60">
        <v>31</v>
      </c>
      <c r="B34" s="61" t="s">
        <v>229</v>
      </c>
      <c r="C34" s="60" t="s">
        <v>230</v>
      </c>
      <c r="D34" s="44" t="s">
        <v>59</v>
      </c>
      <c r="E34" s="61" t="s">
        <v>164</v>
      </c>
      <c r="F34" s="61" t="s">
        <v>165</v>
      </c>
      <c r="G34" s="61" t="s">
        <v>196</v>
      </c>
      <c r="H34" s="61" t="s">
        <v>80</v>
      </c>
      <c r="I34" s="61" t="s">
        <v>167</v>
      </c>
      <c r="J34" s="61" t="s">
        <v>82</v>
      </c>
      <c r="K34" s="63" t="s">
        <v>83</v>
      </c>
      <c r="L34" s="61" t="s">
        <v>168</v>
      </c>
      <c r="M34" s="61"/>
    </row>
    <row r="35" spans="1:13" ht="19.95" customHeight="1" x14ac:dyDescent="0.3">
      <c r="A35" s="18">
        <v>32</v>
      </c>
      <c r="B35" s="19" t="s">
        <v>231</v>
      </c>
      <c r="C35" s="18" t="s">
        <v>232</v>
      </c>
      <c r="D35" s="44" t="s">
        <v>59</v>
      </c>
      <c r="E35" s="19" t="s">
        <v>164</v>
      </c>
      <c r="F35" s="19" t="s">
        <v>165</v>
      </c>
      <c r="G35" s="19" t="s">
        <v>196</v>
      </c>
      <c r="H35" s="19" t="s">
        <v>80</v>
      </c>
      <c r="I35" s="19" t="s">
        <v>167</v>
      </c>
      <c r="J35" s="19" t="s">
        <v>82</v>
      </c>
      <c r="K35" s="21" t="s">
        <v>83</v>
      </c>
      <c r="L35" s="19" t="s">
        <v>168</v>
      </c>
      <c r="M35" s="19"/>
    </row>
    <row r="36" spans="1:13" ht="19.95" customHeight="1" x14ac:dyDescent="0.3">
      <c r="A36" s="60">
        <v>33</v>
      </c>
      <c r="B36" s="61" t="s">
        <v>233</v>
      </c>
      <c r="C36" s="60" t="s">
        <v>234</v>
      </c>
      <c r="D36" s="44" t="s">
        <v>59</v>
      </c>
      <c r="E36" s="61" t="s">
        <v>164</v>
      </c>
      <c r="F36" s="61" t="s">
        <v>165</v>
      </c>
      <c r="G36" s="61" t="s">
        <v>196</v>
      </c>
      <c r="H36" s="61" t="s">
        <v>80</v>
      </c>
      <c r="I36" s="61" t="s">
        <v>167</v>
      </c>
      <c r="J36" s="61" t="s">
        <v>82</v>
      </c>
      <c r="K36" s="63" t="s">
        <v>83</v>
      </c>
      <c r="L36" s="61" t="s">
        <v>168</v>
      </c>
      <c r="M36" s="61"/>
    </row>
    <row r="37" spans="1:13" ht="19.95" customHeight="1" x14ac:dyDescent="0.3">
      <c r="A37" s="18">
        <v>34</v>
      </c>
      <c r="B37" s="19" t="s">
        <v>235</v>
      </c>
      <c r="C37" s="18" t="s">
        <v>236</v>
      </c>
      <c r="D37" s="44" t="s">
        <v>59</v>
      </c>
      <c r="E37" s="19" t="s">
        <v>164</v>
      </c>
      <c r="F37" s="19" t="s">
        <v>165</v>
      </c>
      <c r="G37" s="19" t="s">
        <v>196</v>
      </c>
      <c r="H37" s="19" t="s">
        <v>80</v>
      </c>
      <c r="I37" s="19" t="s">
        <v>167</v>
      </c>
      <c r="J37" s="19" t="s">
        <v>82</v>
      </c>
      <c r="K37" s="21" t="s">
        <v>83</v>
      </c>
      <c r="L37" s="19" t="s">
        <v>168</v>
      </c>
      <c r="M37" s="19"/>
    </row>
    <row r="38" spans="1:13" ht="19.95" customHeight="1" x14ac:dyDescent="0.3">
      <c r="A38" s="60">
        <v>35</v>
      </c>
      <c r="B38" s="61" t="s">
        <v>237</v>
      </c>
      <c r="C38" s="60" t="s">
        <v>238</v>
      </c>
      <c r="D38" s="44" t="s">
        <v>59</v>
      </c>
      <c r="E38" s="61" t="s">
        <v>164</v>
      </c>
      <c r="F38" s="61" t="s">
        <v>165</v>
      </c>
      <c r="G38" s="61" t="s">
        <v>196</v>
      </c>
      <c r="H38" s="61" t="s">
        <v>80</v>
      </c>
      <c r="I38" s="61" t="s">
        <v>167</v>
      </c>
      <c r="J38" s="61" t="s">
        <v>82</v>
      </c>
      <c r="K38" s="63" t="s">
        <v>83</v>
      </c>
      <c r="L38" s="61" t="s">
        <v>168</v>
      </c>
      <c r="M38" s="61"/>
    </row>
    <row r="39" spans="1:13" ht="19.95" customHeight="1" x14ac:dyDescent="0.3">
      <c r="A39" s="18">
        <v>36</v>
      </c>
      <c r="B39" s="19" t="s">
        <v>239</v>
      </c>
      <c r="C39" s="18" t="s">
        <v>240</v>
      </c>
      <c r="D39" s="44" t="s">
        <v>59</v>
      </c>
      <c r="E39" s="19" t="s">
        <v>164</v>
      </c>
      <c r="F39" s="19" t="s">
        <v>165</v>
      </c>
      <c r="G39" s="19" t="s">
        <v>196</v>
      </c>
      <c r="H39" s="19" t="s">
        <v>80</v>
      </c>
      <c r="I39" s="19" t="s">
        <v>167</v>
      </c>
      <c r="J39" s="19" t="s">
        <v>82</v>
      </c>
      <c r="K39" s="21" t="s">
        <v>83</v>
      </c>
      <c r="L39" s="19" t="s">
        <v>168</v>
      </c>
      <c r="M39" s="19"/>
    </row>
    <row r="40" spans="1:13" ht="19.95" customHeight="1" x14ac:dyDescent="0.3">
      <c r="A40" s="60">
        <v>37</v>
      </c>
      <c r="B40" s="61" t="s">
        <v>241</v>
      </c>
      <c r="C40" s="60" t="s">
        <v>242</v>
      </c>
      <c r="D40" s="44" t="s">
        <v>59</v>
      </c>
      <c r="E40" s="61" t="s">
        <v>164</v>
      </c>
      <c r="F40" s="61" t="s">
        <v>165</v>
      </c>
      <c r="G40" s="61" t="s">
        <v>196</v>
      </c>
      <c r="H40" s="61" t="s">
        <v>80</v>
      </c>
      <c r="I40" s="61" t="s">
        <v>167</v>
      </c>
      <c r="J40" s="61" t="s">
        <v>82</v>
      </c>
      <c r="K40" s="63" t="s">
        <v>83</v>
      </c>
      <c r="L40" s="61" t="s">
        <v>168</v>
      </c>
      <c r="M40" s="61"/>
    </row>
    <row r="41" spans="1:13" ht="19.95" customHeight="1" x14ac:dyDescent="0.3">
      <c r="A41" s="18">
        <v>38</v>
      </c>
      <c r="B41" s="19" t="s">
        <v>243</v>
      </c>
      <c r="C41" s="18" t="s">
        <v>244</v>
      </c>
      <c r="D41" s="44" t="s">
        <v>59</v>
      </c>
      <c r="E41" s="19" t="s">
        <v>164</v>
      </c>
      <c r="F41" s="19" t="s">
        <v>165</v>
      </c>
      <c r="G41" s="19" t="s">
        <v>196</v>
      </c>
      <c r="H41" s="19" t="s">
        <v>80</v>
      </c>
      <c r="I41" s="19" t="s">
        <v>167</v>
      </c>
      <c r="J41" s="19" t="s">
        <v>82</v>
      </c>
      <c r="K41" s="21" t="s">
        <v>83</v>
      </c>
      <c r="L41" s="19" t="s">
        <v>168</v>
      </c>
      <c r="M41" s="19"/>
    </row>
    <row r="42" spans="1:13" ht="19.95" customHeight="1" x14ac:dyDescent="0.3">
      <c r="A42" s="60">
        <v>39</v>
      </c>
      <c r="B42" s="61" t="s">
        <v>245</v>
      </c>
      <c r="C42" s="60" t="s">
        <v>246</v>
      </c>
      <c r="D42" s="44" t="s">
        <v>59</v>
      </c>
      <c r="E42" s="61" t="s">
        <v>164</v>
      </c>
      <c r="F42" s="61" t="s">
        <v>165</v>
      </c>
      <c r="G42" s="61" t="s">
        <v>196</v>
      </c>
      <c r="H42" s="61" t="s">
        <v>80</v>
      </c>
      <c r="I42" s="61" t="s">
        <v>167</v>
      </c>
      <c r="J42" s="61" t="s">
        <v>82</v>
      </c>
      <c r="K42" s="63" t="s">
        <v>83</v>
      </c>
      <c r="L42" s="61" t="s">
        <v>168</v>
      </c>
      <c r="M42" s="61"/>
    </row>
    <row r="43" spans="1:13" ht="19.95" customHeight="1" x14ac:dyDescent="0.3">
      <c r="A43" s="18">
        <v>40</v>
      </c>
      <c r="B43" s="19" t="s">
        <v>247</v>
      </c>
      <c r="C43" s="18" t="s">
        <v>248</v>
      </c>
      <c r="D43" s="44" t="s">
        <v>59</v>
      </c>
      <c r="E43" s="19" t="s">
        <v>164</v>
      </c>
      <c r="F43" s="19" t="s">
        <v>165</v>
      </c>
      <c r="G43" s="19" t="s">
        <v>196</v>
      </c>
      <c r="H43" s="19" t="s">
        <v>80</v>
      </c>
      <c r="I43" s="19" t="s">
        <v>167</v>
      </c>
      <c r="J43" s="19" t="s">
        <v>82</v>
      </c>
      <c r="K43" s="21" t="s">
        <v>83</v>
      </c>
      <c r="L43" s="19" t="s">
        <v>168</v>
      </c>
      <c r="M43" s="19"/>
    </row>
    <row r="44" spans="1:13" ht="19.95" customHeight="1" x14ac:dyDescent="0.3">
      <c r="A44" s="60">
        <v>41</v>
      </c>
      <c r="B44" s="61" t="s">
        <v>249</v>
      </c>
      <c r="C44" s="60" t="s">
        <v>250</v>
      </c>
      <c r="D44" s="44" t="s">
        <v>59</v>
      </c>
      <c r="E44" s="61" t="s">
        <v>164</v>
      </c>
      <c r="F44" s="61" t="s">
        <v>165</v>
      </c>
      <c r="G44" s="61" t="s">
        <v>196</v>
      </c>
      <c r="H44" s="61" t="s">
        <v>80</v>
      </c>
      <c r="I44" s="61" t="s">
        <v>167</v>
      </c>
      <c r="J44" s="61" t="s">
        <v>82</v>
      </c>
      <c r="K44" s="63" t="s">
        <v>83</v>
      </c>
      <c r="L44" s="61" t="s">
        <v>168</v>
      </c>
      <c r="M44" s="61"/>
    </row>
    <row r="45" spans="1:13" ht="19.95" customHeight="1" x14ac:dyDescent="0.3">
      <c r="A45" s="18">
        <v>42</v>
      </c>
      <c r="B45" s="19" t="s">
        <v>251</v>
      </c>
      <c r="C45" s="18" t="s">
        <v>252</v>
      </c>
      <c r="D45" s="44" t="s">
        <v>59</v>
      </c>
      <c r="E45" s="19" t="s">
        <v>164</v>
      </c>
      <c r="F45" s="19" t="s">
        <v>165</v>
      </c>
      <c r="G45" s="19" t="s">
        <v>196</v>
      </c>
      <c r="H45" s="19" t="s">
        <v>80</v>
      </c>
      <c r="I45" s="19" t="s">
        <v>167</v>
      </c>
      <c r="J45" s="19" t="s">
        <v>82</v>
      </c>
      <c r="K45" s="21" t="s">
        <v>83</v>
      </c>
      <c r="L45" s="19" t="s">
        <v>168</v>
      </c>
      <c r="M45" s="19"/>
    </row>
    <row r="46" spans="1:13" ht="19.95" customHeight="1" x14ac:dyDescent="0.3">
      <c r="A46" s="60">
        <v>43</v>
      </c>
      <c r="B46" s="61" t="s">
        <v>253</v>
      </c>
      <c r="C46" s="60" t="s">
        <v>254</v>
      </c>
      <c r="D46" s="44" t="s">
        <v>59</v>
      </c>
      <c r="E46" s="61" t="s">
        <v>164</v>
      </c>
      <c r="F46" s="61" t="s">
        <v>165</v>
      </c>
      <c r="G46" s="61" t="s">
        <v>196</v>
      </c>
      <c r="H46" s="61" t="s">
        <v>80</v>
      </c>
      <c r="I46" s="61" t="s">
        <v>167</v>
      </c>
      <c r="J46" s="61" t="s">
        <v>82</v>
      </c>
      <c r="K46" s="63" t="s">
        <v>83</v>
      </c>
      <c r="L46" s="61" t="s">
        <v>168</v>
      </c>
      <c r="M46" s="61"/>
    </row>
    <row r="47" spans="1:13" ht="19.95" customHeight="1" x14ac:dyDescent="0.3">
      <c r="A47" s="18">
        <v>44</v>
      </c>
      <c r="B47" s="19" t="s">
        <v>255</v>
      </c>
      <c r="C47" s="18" t="s">
        <v>256</v>
      </c>
      <c r="D47" s="44" t="s">
        <v>59</v>
      </c>
      <c r="E47" s="19" t="s">
        <v>164</v>
      </c>
      <c r="F47" s="19" t="s">
        <v>165</v>
      </c>
      <c r="G47" s="19" t="s">
        <v>196</v>
      </c>
      <c r="H47" s="19" t="s">
        <v>80</v>
      </c>
      <c r="I47" s="19" t="s">
        <v>167</v>
      </c>
      <c r="J47" s="19" t="s">
        <v>82</v>
      </c>
      <c r="K47" s="21" t="s">
        <v>83</v>
      </c>
      <c r="L47" s="19" t="s">
        <v>168</v>
      </c>
      <c r="M47" s="19"/>
    </row>
    <row r="48" spans="1:13" ht="19.95" customHeight="1" x14ac:dyDescent="0.3">
      <c r="A48" s="60">
        <v>45</v>
      </c>
      <c r="B48" s="61" t="s">
        <v>257</v>
      </c>
      <c r="C48" s="60" t="s">
        <v>258</v>
      </c>
      <c r="D48" s="44" t="s">
        <v>59</v>
      </c>
      <c r="E48" s="61" t="s">
        <v>164</v>
      </c>
      <c r="F48" s="61" t="s">
        <v>165</v>
      </c>
      <c r="G48" s="61" t="s">
        <v>196</v>
      </c>
      <c r="H48" s="61" t="s">
        <v>80</v>
      </c>
      <c r="I48" s="61" t="s">
        <v>167</v>
      </c>
      <c r="J48" s="61" t="s">
        <v>82</v>
      </c>
      <c r="K48" s="63" t="s">
        <v>83</v>
      </c>
      <c r="L48" s="61" t="s">
        <v>168</v>
      </c>
      <c r="M48" s="61"/>
    </row>
    <row r="49" spans="1:13" ht="19.95" customHeight="1" x14ac:dyDescent="0.3">
      <c r="A49" s="18">
        <v>46</v>
      </c>
      <c r="B49" s="19" t="s">
        <v>259</v>
      </c>
      <c r="C49" s="18" t="s">
        <v>260</v>
      </c>
      <c r="D49" s="44" t="s">
        <v>59</v>
      </c>
      <c r="E49" s="19" t="s">
        <v>164</v>
      </c>
      <c r="F49" s="19" t="s">
        <v>165</v>
      </c>
      <c r="G49" s="19" t="s">
        <v>196</v>
      </c>
      <c r="H49" s="19" t="s">
        <v>80</v>
      </c>
      <c r="I49" s="19" t="s">
        <v>167</v>
      </c>
      <c r="J49" s="19" t="s">
        <v>82</v>
      </c>
      <c r="K49" s="21" t="s">
        <v>83</v>
      </c>
      <c r="L49" s="19" t="s">
        <v>168</v>
      </c>
      <c r="M49" s="19"/>
    </row>
    <row r="50" spans="1:13" ht="19.95" customHeight="1" x14ac:dyDescent="0.3">
      <c r="A50" s="60">
        <v>47</v>
      </c>
      <c r="B50" s="61" t="s">
        <v>261</v>
      </c>
      <c r="C50" s="60" t="s">
        <v>262</v>
      </c>
      <c r="D50" s="44" t="s">
        <v>59</v>
      </c>
      <c r="E50" s="61" t="s">
        <v>164</v>
      </c>
      <c r="F50" s="61" t="s">
        <v>165</v>
      </c>
      <c r="G50" s="61" t="s">
        <v>196</v>
      </c>
      <c r="H50" s="61" t="s">
        <v>80</v>
      </c>
      <c r="I50" s="61" t="s">
        <v>167</v>
      </c>
      <c r="J50" s="61" t="s">
        <v>82</v>
      </c>
      <c r="K50" s="63" t="s">
        <v>83</v>
      </c>
      <c r="L50" s="61" t="s">
        <v>168</v>
      </c>
      <c r="M50" s="61"/>
    </row>
    <row r="51" spans="1:13" ht="19.95" customHeight="1" x14ac:dyDescent="0.3">
      <c r="A51" s="18">
        <v>48</v>
      </c>
      <c r="B51" s="19" t="s">
        <v>263</v>
      </c>
      <c r="C51" s="18" t="s">
        <v>264</v>
      </c>
      <c r="D51" s="44" t="s">
        <v>59</v>
      </c>
      <c r="E51" s="19" t="s">
        <v>164</v>
      </c>
      <c r="F51" s="19" t="s">
        <v>165</v>
      </c>
      <c r="G51" s="19" t="s">
        <v>196</v>
      </c>
      <c r="H51" s="19" t="s">
        <v>80</v>
      </c>
      <c r="I51" s="19" t="s">
        <v>167</v>
      </c>
      <c r="J51" s="19" t="s">
        <v>82</v>
      </c>
      <c r="K51" s="21" t="s">
        <v>83</v>
      </c>
      <c r="L51" s="19" t="s">
        <v>168</v>
      </c>
      <c r="M51" s="19"/>
    </row>
    <row r="52" spans="1:13" ht="19.95" customHeight="1" x14ac:dyDescent="0.3">
      <c r="A52" s="60">
        <v>49</v>
      </c>
      <c r="B52" s="61" t="s">
        <v>265</v>
      </c>
      <c r="C52" s="60" t="s">
        <v>266</v>
      </c>
      <c r="D52" s="44" t="s">
        <v>59</v>
      </c>
      <c r="E52" s="61" t="s">
        <v>164</v>
      </c>
      <c r="F52" s="61" t="s">
        <v>165</v>
      </c>
      <c r="G52" s="61" t="s">
        <v>196</v>
      </c>
      <c r="H52" s="61" t="s">
        <v>80</v>
      </c>
      <c r="I52" s="61" t="s">
        <v>167</v>
      </c>
      <c r="J52" s="61" t="s">
        <v>82</v>
      </c>
      <c r="K52" s="63" t="s">
        <v>83</v>
      </c>
      <c r="L52" s="61" t="s">
        <v>168</v>
      </c>
      <c r="M52" s="61"/>
    </row>
    <row r="53" spans="1:13" ht="19.95" customHeight="1" x14ac:dyDescent="0.3">
      <c r="A53" s="18">
        <v>50</v>
      </c>
      <c r="B53" s="19" t="s">
        <v>267</v>
      </c>
      <c r="C53" s="18" t="s">
        <v>268</v>
      </c>
      <c r="D53" s="44" t="s">
        <v>59</v>
      </c>
      <c r="E53" s="19" t="s">
        <v>164</v>
      </c>
      <c r="F53" s="19" t="s">
        <v>165</v>
      </c>
      <c r="G53" s="19" t="s">
        <v>196</v>
      </c>
      <c r="H53" s="19" t="s">
        <v>80</v>
      </c>
      <c r="I53" s="19" t="s">
        <v>167</v>
      </c>
      <c r="J53" s="19" t="s">
        <v>82</v>
      </c>
      <c r="K53" s="21" t="s">
        <v>83</v>
      </c>
      <c r="L53" s="19" t="s">
        <v>168</v>
      </c>
      <c r="M53" s="19"/>
    </row>
    <row r="54" spans="1:13" ht="19.95" customHeight="1" x14ac:dyDescent="0.3">
      <c r="A54" s="60">
        <v>51</v>
      </c>
      <c r="B54" s="61" t="s">
        <v>269</v>
      </c>
      <c r="C54" s="60" t="s">
        <v>270</v>
      </c>
      <c r="D54" s="44" t="s">
        <v>59</v>
      </c>
      <c r="E54" s="61" t="s">
        <v>164</v>
      </c>
      <c r="F54" s="61" t="s">
        <v>165</v>
      </c>
      <c r="G54" s="61" t="s">
        <v>196</v>
      </c>
      <c r="H54" s="61" t="s">
        <v>80</v>
      </c>
      <c r="I54" s="61" t="s">
        <v>167</v>
      </c>
      <c r="J54" s="61" t="s">
        <v>82</v>
      </c>
      <c r="K54" s="63" t="s">
        <v>83</v>
      </c>
      <c r="L54" s="61" t="s">
        <v>168</v>
      </c>
      <c r="M54" s="61"/>
    </row>
  </sheetData>
  <autoFilter ref="A3:M54" xr:uid="{00000000-0009-0000-0000-000003000000}"/>
  <mergeCells count="3">
    <mergeCell ref="O1:P1"/>
    <mergeCell ref="A2:M2"/>
    <mergeCell ref="A1:M1"/>
  </mergeCells>
  <dataValidations count="1">
    <dataValidation type="list" allowBlank="1" sqref="J4:J74" xr:uid="{00000000-0002-0000-03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300-000000000000}"/>
    <hyperlink ref="K5" r:id="rId2" xr:uid="{00000000-0004-0000-0300-000001000000}"/>
    <hyperlink ref="K6" r:id="rId3" xr:uid="{00000000-0004-0000-0300-000002000000}"/>
    <hyperlink ref="K7" r:id="rId4" xr:uid="{00000000-0004-0000-0300-000003000000}"/>
    <hyperlink ref="K8" r:id="rId5" xr:uid="{00000000-0004-0000-0300-000004000000}"/>
    <hyperlink ref="K9" r:id="rId6" xr:uid="{00000000-0004-0000-0300-000005000000}"/>
    <hyperlink ref="K10" r:id="rId7" xr:uid="{00000000-0004-0000-0300-000006000000}"/>
    <hyperlink ref="K11" r:id="rId8" xr:uid="{00000000-0004-0000-0300-000007000000}"/>
    <hyperlink ref="K12" r:id="rId9" xr:uid="{00000000-0004-0000-0300-000008000000}"/>
    <hyperlink ref="K13" r:id="rId10" xr:uid="{00000000-0004-0000-0300-000009000000}"/>
    <hyperlink ref="K14" r:id="rId11" xr:uid="{00000000-0004-0000-0300-00000A000000}"/>
    <hyperlink ref="K15" r:id="rId12" xr:uid="{00000000-0004-0000-0300-00000B000000}"/>
    <hyperlink ref="K16" r:id="rId13" xr:uid="{00000000-0004-0000-0300-00000C000000}"/>
    <hyperlink ref="K17" r:id="rId14" xr:uid="{00000000-0004-0000-0300-00000D000000}"/>
    <hyperlink ref="K18" r:id="rId15" xr:uid="{00000000-0004-0000-0300-00000E000000}"/>
    <hyperlink ref="K19" r:id="rId16" xr:uid="{00000000-0004-0000-0300-00000F000000}"/>
    <hyperlink ref="K20" r:id="rId17" xr:uid="{00000000-0004-0000-0300-000010000000}"/>
    <hyperlink ref="K21" r:id="rId18" xr:uid="{00000000-0004-0000-0300-000011000000}"/>
    <hyperlink ref="K22" r:id="rId19" xr:uid="{00000000-0004-0000-0300-000012000000}"/>
    <hyperlink ref="K23" r:id="rId20" xr:uid="{00000000-0004-0000-0300-000013000000}"/>
    <hyperlink ref="K24" r:id="rId21" xr:uid="{00000000-0004-0000-0300-000014000000}"/>
    <hyperlink ref="K25" r:id="rId22" xr:uid="{00000000-0004-0000-0300-000015000000}"/>
    <hyperlink ref="K26" r:id="rId23" location="exp=0-2" xr:uid="{00000000-0004-0000-0300-000016000000}"/>
    <hyperlink ref="K27" r:id="rId24" xr:uid="{00000000-0004-0000-0300-000017000000}"/>
    <hyperlink ref="K28" r:id="rId25" location="q=fresher&amp;t=Jobs" xr:uid="{00000000-0004-0000-0300-000018000000}"/>
    <hyperlink ref="K29" r:id="rId26" xr:uid="{00000000-0004-0000-0300-000019000000}"/>
    <hyperlink ref="K30" r:id="rId27" xr:uid="{00000000-0004-0000-0300-00001A000000}"/>
    <hyperlink ref="K31" r:id="rId28" xr:uid="{00000000-0004-0000-0300-00001B000000}"/>
    <hyperlink ref="K32" r:id="rId29" xr:uid="{00000000-0004-0000-0300-00001C000000}"/>
    <hyperlink ref="K33" r:id="rId30" xr:uid="{00000000-0004-0000-0300-00001D000000}"/>
    <hyperlink ref="K34" r:id="rId31" xr:uid="{00000000-0004-0000-0300-00001E000000}"/>
    <hyperlink ref="K35" r:id="rId32" xr:uid="{00000000-0004-0000-0300-00001F000000}"/>
    <hyperlink ref="K36" r:id="rId33" xr:uid="{00000000-0004-0000-0300-000020000000}"/>
    <hyperlink ref="K37" r:id="rId34" xr:uid="{00000000-0004-0000-0300-000021000000}"/>
    <hyperlink ref="K38" r:id="rId35" location="q=fresher%20trainee" xr:uid="{00000000-0004-0000-0300-000022000000}"/>
    <hyperlink ref="K39" r:id="rId36" xr:uid="{00000000-0004-0000-0300-000023000000}"/>
    <hyperlink ref="K40" r:id="rId37" xr:uid="{00000000-0004-0000-0300-000024000000}"/>
    <hyperlink ref="K41" r:id="rId38" location="!/joblist" xr:uid="{00000000-0004-0000-0300-000025000000}"/>
    <hyperlink ref="K42" r:id="rId39" location="careers" xr:uid="{00000000-0004-0000-0300-000026000000}"/>
    <hyperlink ref="K43" r:id="rId40" xr:uid="{00000000-0004-0000-0300-000027000000}"/>
    <hyperlink ref="K44" r:id="rId41" xr:uid="{00000000-0004-0000-0300-000028000000}"/>
    <hyperlink ref="K45" r:id="rId42" xr:uid="{00000000-0004-0000-0300-000029000000}"/>
    <hyperlink ref="K46" r:id="rId43" xr:uid="{00000000-0004-0000-0300-00002A000000}"/>
    <hyperlink ref="K47" r:id="rId44" xr:uid="{00000000-0004-0000-0300-00002B000000}"/>
    <hyperlink ref="K48" r:id="rId45" xr:uid="{00000000-0004-0000-0300-00002C000000}"/>
    <hyperlink ref="K49" r:id="rId46" xr:uid="{00000000-0004-0000-0300-00002D000000}"/>
    <hyperlink ref="K50" r:id="rId47" xr:uid="{00000000-0004-0000-0300-00002E000000}"/>
    <hyperlink ref="K51" r:id="rId48" xr:uid="{00000000-0004-0000-0300-00002F000000}"/>
    <hyperlink ref="K52" r:id="rId49" xr:uid="{00000000-0004-0000-0300-000030000000}"/>
    <hyperlink ref="K53" r:id="rId50" xr:uid="{00000000-0004-0000-0300-000031000000}"/>
    <hyperlink ref="K54" r:id="rId51" xr:uid="{00000000-0004-0000-0300-00003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1A1A"/>
  </sheetPr>
  <dimension ref="A1:P78"/>
  <sheetViews>
    <sheetView topLeftCell="G1" workbookViewId="0">
      <pane ySplit="3" topLeftCell="A4" activePane="bottomLeft" state="frozen"/>
      <selection pane="bottomLeft" activeCell="K4" sqref="K4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14" t="s">
        <v>271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12" t="s">
        <v>57</v>
      </c>
      <c r="P1" s="101"/>
    </row>
    <row r="2" spans="1:16" ht="19.95" customHeight="1" x14ac:dyDescent="0.3">
      <c r="A2" s="113" t="s">
        <v>272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COUNTIF(D4:D78,"Software Development")</f>
        <v>42</v>
      </c>
    </row>
    <row r="3" spans="1:16" ht="19.95" customHeight="1" x14ac:dyDescent="0.3">
      <c r="A3" s="64" t="s">
        <v>60</v>
      </c>
      <c r="B3" s="64" t="s">
        <v>61</v>
      </c>
      <c r="C3" s="64" t="s">
        <v>62</v>
      </c>
      <c r="D3" s="64" t="s">
        <v>63</v>
      </c>
      <c r="E3" s="64" t="s">
        <v>64</v>
      </c>
      <c r="F3" s="64" t="s">
        <v>65</v>
      </c>
      <c r="G3" s="64" t="s">
        <v>66</v>
      </c>
      <c r="H3" s="64" t="s">
        <v>67</v>
      </c>
      <c r="I3" s="64" t="s">
        <v>68</v>
      </c>
      <c r="J3" s="64" t="s">
        <v>69</v>
      </c>
      <c r="K3" s="64" t="s">
        <v>70</v>
      </c>
      <c r="L3" s="64" t="s">
        <v>71</v>
      </c>
      <c r="M3" s="64" t="s">
        <v>72</v>
      </c>
      <c r="O3" s="10" t="s">
        <v>73</v>
      </c>
      <c r="P3" s="11">
        <f>COUNTIF(D4:D78,"AI / ML / Data Science")</f>
        <v>1</v>
      </c>
    </row>
    <row r="4" spans="1:16" ht="19.95" customHeight="1" x14ac:dyDescent="0.3">
      <c r="A4" s="65">
        <v>1</v>
      </c>
      <c r="B4" s="66" t="s">
        <v>132</v>
      </c>
      <c r="C4" s="65" t="s">
        <v>133</v>
      </c>
      <c r="D4" s="55" t="s">
        <v>73</v>
      </c>
      <c r="E4" s="66" t="s">
        <v>134</v>
      </c>
      <c r="F4" s="66" t="s">
        <v>78</v>
      </c>
      <c r="G4" s="66" t="s">
        <v>135</v>
      </c>
      <c r="H4" s="66" t="s">
        <v>80</v>
      </c>
      <c r="I4" s="66" t="s">
        <v>136</v>
      </c>
      <c r="J4" s="66" t="s">
        <v>82</v>
      </c>
      <c r="K4" s="67" t="s">
        <v>83</v>
      </c>
      <c r="L4" s="66" t="s">
        <v>84</v>
      </c>
      <c r="M4" s="66"/>
      <c r="O4" s="16" t="s">
        <v>85</v>
      </c>
      <c r="P4" s="17">
        <f>COUNTIF(D4:D78,"QA / Testing / Automation")</f>
        <v>0</v>
      </c>
    </row>
    <row r="5" spans="1:16" ht="19.95" customHeight="1" x14ac:dyDescent="0.3">
      <c r="A5" s="18">
        <v>2</v>
      </c>
      <c r="B5" s="19" t="s">
        <v>162</v>
      </c>
      <c r="C5" s="18" t="s">
        <v>163</v>
      </c>
      <c r="D5" s="62" t="s">
        <v>99</v>
      </c>
      <c r="E5" s="19" t="s">
        <v>164</v>
      </c>
      <c r="F5" s="19" t="s">
        <v>165</v>
      </c>
      <c r="G5" s="19" t="s">
        <v>166</v>
      </c>
      <c r="H5" s="19" t="s">
        <v>80</v>
      </c>
      <c r="I5" s="19" t="s">
        <v>167</v>
      </c>
      <c r="J5" s="19" t="s">
        <v>82</v>
      </c>
      <c r="K5" s="21" t="s">
        <v>83</v>
      </c>
      <c r="L5" s="19" t="s">
        <v>168</v>
      </c>
      <c r="M5" s="19"/>
      <c r="O5" s="22" t="s">
        <v>89</v>
      </c>
      <c r="P5" s="23">
        <f>COUNTIF(D4:D78,"DevOps / Cloud / Security")</f>
        <v>0</v>
      </c>
    </row>
    <row r="6" spans="1:16" ht="19.95" customHeight="1" x14ac:dyDescent="0.3">
      <c r="A6" s="65">
        <v>3</v>
      </c>
      <c r="B6" s="66" t="s">
        <v>169</v>
      </c>
      <c r="C6" s="65" t="s">
        <v>170</v>
      </c>
      <c r="D6" s="62" t="s">
        <v>99</v>
      </c>
      <c r="E6" s="66" t="s">
        <v>164</v>
      </c>
      <c r="F6" s="66" t="s">
        <v>165</v>
      </c>
      <c r="G6" s="66" t="s">
        <v>166</v>
      </c>
      <c r="H6" s="66" t="s">
        <v>80</v>
      </c>
      <c r="I6" s="66" t="s">
        <v>167</v>
      </c>
      <c r="J6" s="66" t="s">
        <v>82</v>
      </c>
      <c r="K6" s="67" t="s">
        <v>83</v>
      </c>
      <c r="L6" s="66" t="s">
        <v>168</v>
      </c>
      <c r="M6" s="66"/>
      <c r="O6" s="24" t="s">
        <v>91</v>
      </c>
      <c r="P6" s="25">
        <f>COUNTIF(D4:D78,"Web Development")</f>
        <v>3</v>
      </c>
    </row>
    <row r="7" spans="1:16" ht="19.95" customHeight="1" x14ac:dyDescent="0.3">
      <c r="A7" s="18">
        <v>4</v>
      </c>
      <c r="B7" s="19" t="s">
        <v>171</v>
      </c>
      <c r="C7" s="18" t="s">
        <v>172</v>
      </c>
      <c r="D7" s="62" t="s">
        <v>99</v>
      </c>
      <c r="E7" s="19" t="s">
        <v>164</v>
      </c>
      <c r="F7" s="19" t="s">
        <v>165</v>
      </c>
      <c r="G7" s="19" t="s">
        <v>166</v>
      </c>
      <c r="H7" s="19" t="s">
        <v>80</v>
      </c>
      <c r="I7" s="19" t="s">
        <v>167</v>
      </c>
      <c r="J7" s="19" t="s">
        <v>82</v>
      </c>
      <c r="K7" s="21" t="s">
        <v>83</v>
      </c>
      <c r="L7" s="19" t="s">
        <v>168</v>
      </c>
      <c r="M7" s="19"/>
      <c r="O7" s="26" t="s">
        <v>94</v>
      </c>
      <c r="P7" s="27">
        <f>COUNTIF(D4:D78,"Mobile Development")</f>
        <v>0</v>
      </c>
    </row>
    <row r="8" spans="1:16" ht="19.95" customHeight="1" x14ac:dyDescent="0.3">
      <c r="A8" s="65">
        <v>5</v>
      </c>
      <c r="B8" s="66" t="s">
        <v>173</v>
      </c>
      <c r="C8" s="65" t="s">
        <v>174</v>
      </c>
      <c r="D8" s="62" t="s">
        <v>99</v>
      </c>
      <c r="E8" s="66" t="s">
        <v>164</v>
      </c>
      <c r="F8" s="66" t="s">
        <v>165</v>
      </c>
      <c r="G8" s="66" t="s">
        <v>166</v>
      </c>
      <c r="H8" s="66" t="s">
        <v>80</v>
      </c>
      <c r="I8" s="66" t="s">
        <v>167</v>
      </c>
      <c r="J8" s="66" t="s">
        <v>82</v>
      </c>
      <c r="K8" s="67" t="s">
        <v>83</v>
      </c>
      <c r="L8" s="66" t="s">
        <v>168</v>
      </c>
      <c r="M8" s="66"/>
      <c r="O8" s="28" t="s">
        <v>76</v>
      </c>
      <c r="P8" s="29">
        <f>COUNTIF(D4:D78,"Data &amp; Analytics")</f>
        <v>1</v>
      </c>
    </row>
    <row r="9" spans="1:16" ht="19.95" customHeight="1" x14ac:dyDescent="0.3">
      <c r="A9" s="18">
        <v>6</v>
      </c>
      <c r="B9" s="19" t="s">
        <v>175</v>
      </c>
      <c r="C9" s="18" t="s">
        <v>176</v>
      </c>
      <c r="D9" s="62" t="s">
        <v>99</v>
      </c>
      <c r="E9" s="19" t="s">
        <v>164</v>
      </c>
      <c r="F9" s="19" t="s">
        <v>165</v>
      </c>
      <c r="G9" s="19" t="s">
        <v>166</v>
      </c>
      <c r="H9" s="19" t="s">
        <v>80</v>
      </c>
      <c r="I9" s="19" t="s">
        <v>167</v>
      </c>
      <c r="J9" s="19" t="s">
        <v>82</v>
      </c>
      <c r="K9" s="21" t="s">
        <v>83</v>
      </c>
      <c r="L9" s="19" t="s">
        <v>168</v>
      </c>
      <c r="M9" s="19"/>
      <c r="O9" s="30" t="s">
        <v>99</v>
      </c>
      <c r="P9" s="31">
        <f>COUNTIF(D4:D78,"BPO / Customer Service")</f>
        <v>8</v>
      </c>
    </row>
    <row r="10" spans="1:16" ht="19.95" customHeight="1" x14ac:dyDescent="0.3">
      <c r="A10" s="65">
        <v>7</v>
      </c>
      <c r="B10" s="66" t="s">
        <v>177</v>
      </c>
      <c r="C10" s="65" t="s">
        <v>178</v>
      </c>
      <c r="D10" s="62" t="s">
        <v>99</v>
      </c>
      <c r="E10" s="66" t="s">
        <v>164</v>
      </c>
      <c r="F10" s="66" t="s">
        <v>165</v>
      </c>
      <c r="G10" s="66" t="s">
        <v>166</v>
      </c>
      <c r="H10" s="66" t="s">
        <v>80</v>
      </c>
      <c r="I10" s="66" t="s">
        <v>167</v>
      </c>
      <c r="J10" s="66" t="s">
        <v>82</v>
      </c>
      <c r="K10" s="67" t="s">
        <v>83</v>
      </c>
      <c r="L10" s="66" t="s">
        <v>168</v>
      </c>
      <c r="M10" s="66"/>
      <c r="O10" s="32" t="s">
        <v>104</v>
      </c>
      <c r="P10" s="33">
        <f>COUNTIF(D4:D78,"Sales &amp; Business Dev")</f>
        <v>4</v>
      </c>
    </row>
    <row r="11" spans="1:16" ht="19.95" customHeight="1" x14ac:dyDescent="0.3">
      <c r="A11" s="18">
        <v>8</v>
      </c>
      <c r="B11" s="19" t="s">
        <v>179</v>
      </c>
      <c r="C11" s="18" t="s">
        <v>180</v>
      </c>
      <c r="D11" s="62" t="s">
        <v>99</v>
      </c>
      <c r="E11" s="19" t="s">
        <v>164</v>
      </c>
      <c r="F11" s="19" t="s">
        <v>165</v>
      </c>
      <c r="G11" s="19" t="s">
        <v>166</v>
      </c>
      <c r="H11" s="19" t="s">
        <v>80</v>
      </c>
      <c r="I11" s="19" t="s">
        <v>167</v>
      </c>
      <c r="J11" s="19" t="s">
        <v>82</v>
      </c>
      <c r="K11" s="21" t="s">
        <v>83</v>
      </c>
      <c r="L11" s="19" t="s">
        <v>168</v>
      </c>
      <c r="M11" s="19"/>
      <c r="O11" s="35" t="s">
        <v>107</v>
      </c>
      <c r="P11" s="36">
        <f>COUNTIF(D4:D78,"Marketing &amp; Content")</f>
        <v>2</v>
      </c>
    </row>
    <row r="12" spans="1:16" ht="19.95" customHeight="1" x14ac:dyDescent="0.3">
      <c r="A12" s="65">
        <v>9</v>
      </c>
      <c r="B12" s="66" t="s">
        <v>181</v>
      </c>
      <c r="C12" s="65" t="s">
        <v>182</v>
      </c>
      <c r="D12" s="62" t="s">
        <v>99</v>
      </c>
      <c r="E12" s="66" t="s">
        <v>164</v>
      </c>
      <c r="F12" s="66" t="s">
        <v>165</v>
      </c>
      <c r="G12" s="66" t="s">
        <v>166</v>
      </c>
      <c r="H12" s="66" t="s">
        <v>80</v>
      </c>
      <c r="I12" s="66" t="s">
        <v>167</v>
      </c>
      <c r="J12" s="66" t="s">
        <v>82</v>
      </c>
      <c r="K12" s="67" t="s">
        <v>83</v>
      </c>
      <c r="L12" s="66" t="s">
        <v>168</v>
      </c>
      <c r="M12" s="66"/>
      <c r="O12" s="37" t="s">
        <v>112</v>
      </c>
      <c r="P12" s="38">
        <f>COUNTIF(D4:D78,"HR &amp; Recruitment")</f>
        <v>1</v>
      </c>
    </row>
    <row r="13" spans="1:16" ht="19.95" customHeight="1" x14ac:dyDescent="0.3">
      <c r="A13" s="18">
        <v>10</v>
      </c>
      <c r="B13" s="19" t="s">
        <v>74</v>
      </c>
      <c r="C13" s="18" t="s">
        <v>75</v>
      </c>
      <c r="D13" s="14" t="s">
        <v>76</v>
      </c>
      <c r="E13" s="19" t="s">
        <v>77</v>
      </c>
      <c r="F13" s="19" t="s">
        <v>78</v>
      </c>
      <c r="G13" s="19" t="s">
        <v>79</v>
      </c>
      <c r="H13" s="19" t="s">
        <v>80</v>
      </c>
      <c r="I13" s="19" t="s">
        <v>81</v>
      </c>
      <c r="J13" s="19" t="s">
        <v>82</v>
      </c>
      <c r="K13" s="21" t="s">
        <v>83</v>
      </c>
      <c r="L13" s="19" t="s">
        <v>84</v>
      </c>
      <c r="M13" s="19"/>
      <c r="O13" s="40" t="s">
        <v>117</v>
      </c>
      <c r="P13" s="41">
        <f>COUNTIF(D4:D78,"Finance &amp; Accounts")</f>
        <v>6</v>
      </c>
    </row>
    <row r="14" spans="1:16" ht="19.95" customHeight="1" x14ac:dyDescent="0.3">
      <c r="A14" s="65">
        <v>11</v>
      </c>
      <c r="B14" s="66" t="s">
        <v>137</v>
      </c>
      <c r="C14" s="65" t="s">
        <v>138</v>
      </c>
      <c r="D14" s="57" t="s">
        <v>117</v>
      </c>
      <c r="E14" s="66" t="s">
        <v>139</v>
      </c>
      <c r="F14" s="66" t="s">
        <v>78</v>
      </c>
      <c r="G14" s="66" t="s">
        <v>140</v>
      </c>
      <c r="H14" s="66" t="s">
        <v>80</v>
      </c>
      <c r="I14" s="66" t="s">
        <v>136</v>
      </c>
      <c r="J14" s="66" t="s">
        <v>82</v>
      </c>
      <c r="K14" s="67" t="s">
        <v>83</v>
      </c>
      <c r="L14" s="66" t="s">
        <v>84</v>
      </c>
      <c r="M14" s="66"/>
      <c r="O14" s="42" t="s">
        <v>120</v>
      </c>
      <c r="P14" s="43">
        <f>COUNTIF(D4:D78,"Operations &amp; Logistics")</f>
        <v>0</v>
      </c>
    </row>
    <row r="15" spans="1:16" ht="19.95" customHeight="1" x14ac:dyDescent="0.3">
      <c r="A15" s="18">
        <v>12</v>
      </c>
      <c r="B15" s="19" t="s">
        <v>183</v>
      </c>
      <c r="C15" s="18" t="s">
        <v>184</v>
      </c>
      <c r="D15" s="57" t="s">
        <v>117</v>
      </c>
      <c r="E15" s="19" t="s">
        <v>164</v>
      </c>
      <c r="F15" s="19" t="s">
        <v>165</v>
      </c>
      <c r="G15" s="19" t="s">
        <v>185</v>
      </c>
      <c r="H15" s="19" t="s">
        <v>80</v>
      </c>
      <c r="I15" s="19" t="s">
        <v>167</v>
      </c>
      <c r="J15" s="19" t="s">
        <v>82</v>
      </c>
      <c r="K15" s="21" t="s">
        <v>83</v>
      </c>
      <c r="L15" s="19" t="s">
        <v>168</v>
      </c>
      <c r="M15" s="19"/>
      <c r="O15" s="45" t="s">
        <v>122</v>
      </c>
      <c r="P15" s="46">
        <f>COUNTIF(D4:D78,"Management Trainee / Admin")</f>
        <v>0</v>
      </c>
    </row>
    <row r="16" spans="1:16" ht="19.95" customHeight="1" x14ac:dyDescent="0.3">
      <c r="A16" s="65">
        <v>13</v>
      </c>
      <c r="B16" s="66" t="s">
        <v>186</v>
      </c>
      <c r="C16" s="65" t="s">
        <v>187</v>
      </c>
      <c r="D16" s="57" t="s">
        <v>117</v>
      </c>
      <c r="E16" s="66" t="s">
        <v>164</v>
      </c>
      <c r="F16" s="66" t="s">
        <v>165</v>
      </c>
      <c r="G16" s="66" t="s">
        <v>185</v>
      </c>
      <c r="H16" s="66" t="s">
        <v>80</v>
      </c>
      <c r="I16" s="66" t="s">
        <v>167</v>
      </c>
      <c r="J16" s="66" t="s">
        <v>82</v>
      </c>
      <c r="K16" s="67" t="s">
        <v>83</v>
      </c>
      <c r="L16" s="66" t="s">
        <v>168</v>
      </c>
      <c r="M16" s="66"/>
      <c r="O16" s="47" t="s">
        <v>125</v>
      </c>
      <c r="P16" s="48">
        <f>COUNTIF(D4:D78,"Cybersecurity")</f>
        <v>0</v>
      </c>
    </row>
    <row r="17" spans="1:16" ht="19.95" customHeight="1" x14ac:dyDescent="0.3">
      <c r="A17" s="18">
        <v>14</v>
      </c>
      <c r="B17" s="19" t="s">
        <v>188</v>
      </c>
      <c r="C17" s="18" t="s">
        <v>189</v>
      </c>
      <c r="D17" s="57" t="s">
        <v>117</v>
      </c>
      <c r="E17" s="19" t="s">
        <v>164</v>
      </c>
      <c r="F17" s="19" t="s">
        <v>165</v>
      </c>
      <c r="G17" s="19" t="s">
        <v>185</v>
      </c>
      <c r="H17" s="19" t="s">
        <v>80</v>
      </c>
      <c r="I17" s="19" t="s">
        <v>167</v>
      </c>
      <c r="J17" s="19" t="s">
        <v>82</v>
      </c>
      <c r="K17" s="21" t="s">
        <v>83</v>
      </c>
      <c r="L17" s="19" t="s">
        <v>168</v>
      </c>
      <c r="M17" s="19"/>
      <c r="O17" s="49" t="s">
        <v>88</v>
      </c>
      <c r="P17" s="50">
        <f>COUNTIF(D4:D78,"General / Others")</f>
        <v>7</v>
      </c>
    </row>
    <row r="18" spans="1:16" ht="19.95" customHeight="1" x14ac:dyDescent="0.3">
      <c r="A18" s="65">
        <v>15</v>
      </c>
      <c r="B18" s="66" t="s">
        <v>190</v>
      </c>
      <c r="C18" s="65" t="s">
        <v>191</v>
      </c>
      <c r="D18" s="57" t="s">
        <v>117</v>
      </c>
      <c r="E18" s="66" t="s">
        <v>164</v>
      </c>
      <c r="F18" s="66" t="s">
        <v>165</v>
      </c>
      <c r="G18" s="66" t="s">
        <v>185</v>
      </c>
      <c r="H18" s="66" t="s">
        <v>80</v>
      </c>
      <c r="I18" s="66" t="s">
        <v>167</v>
      </c>
      <c r="J18" s="66" t="s">
        <v>82</v>
      </c>
      <c r="K18" s="67" t="s">
        <v>83</v>
      </c>
      <c r="L18" s="66" t="s">
        <v>168</v>
      </c>
      <c r="M18" s="66"/>
    </row>
    <row r="19" spans="1:16" ht="19.95" customHeight="1" x14ac:dyDescent="0.3">
      <c r="A19" s="18">
        <v>16</v>
      </c>
      <c r="B19" s="19" t="s">
        <v>192</v>
      </c>
      <c r="C19" s="18" t="s">
        <v>193</v>
      </c>
      <c r="D19" s="57" t="s">
        <v>117</v>
      </c>
      <c r="E19" s="19" t="s">
        <v>164</v>
      </c>
      <c r="F19" s="19" t="s">
        <v>165</v>
      </c>
      <c r="G19" s="19" t="s">
        <v>185</v>
      </c>
      <c r="H19" s="19" t="s">
        <v>80</v>
      </c>
      <c r="I19" s="19" t="s">
        <v>167</v>
      </c>
      <c r="J19" s="19" t="s">
        <v>82</v>
      </c>
      <c r="K19" s="21" t="s">
        <v>83</v>
      </c>
      <c r="L19" s="19" t="s">
        <v>168</v>
      </c>
      <c r="M19" s="19"/>
    </row>
    <row r="20" spans="1:16" ht="19.95" customHeight="1" x14ac:dyDescent="0.3">
      <c r="A20" s="65">
        <v>17</v>
      </c>
      <c r="B20" s="66" t="s">
        <v>86</v>
      </c>
      <c r="C20" s="65" t="s">
        <v>87</v>
      </c>
      <c r="D20" s="20" t="s">
        <v>88</v>
      </c>
      <c r="E20" s="66" t="s">
        <v>77</v>
      </c>
      <c r="F20" s="66" t="s">
        <v>78</v>
      </c>
      <c r="G20" s="66" t="s">
        <v>79</v>
      </c>
      <c r="H20" s="66" t="s">
        <v>80</v>
      </c>
      <c r="I20" s="66" t="s">
        <v>81</v>
      </c>
      <c r="J20" s="66" t="s">
        <v>82</v>
      </c>
      <c r="K20" s="67" t="s">
        <v>83</v>
      </c>
      <c r="L20" s="66" t="s">
        <v>84</v>
      </c>
      <c r="M20" s="66"/>
    </row>
    <row r="21" spans="1:16" ht="19.95" customHeight="1" x14ac:dyDescent="0.3">
      <c r="A21" s="18">
        <v>18</v>
      </c>
      <c r="B21" s="19" t="s">
        <v>90</v>
      </c>
      <c r="C21" s="18" t="s">
        <v>87</v>
      </c>
      <c r="D21" s="20" t="s">
        <v>88</v>
      </c>
      <c r="E21" s="19" t="s">
        <v>77</v>
      </c>
      <c r="F21" s="19" t="s">
        <v>78</v>
      </c>
      <c r="G21" s="19" t="s">
        <v>79</v>
      </c>
      <c r="H21" s="19" t="s">
        <v>80</v>
      </c>
      <c r="I21" s="19" t="s">
        <v>81</v>
      </c>
      <c r="J21" s="19" t="s">
        <v>82</v>
      </c>
      <c r="K21" s="21" t="s">
        <v>83</v>
      </c>
      <c r="L21" s="19" t="s">
        <v>84</v>
      </c>
      <c r="M21" s="19"/>
    </row>
    <row r="22" spans="1:16" ht="19.95" customHeight="1" x14ac:dyDescent="0.3">
      <c r="A22" s="65">
        <v>19</v>
      </c>
      <c r="B22" s="66" t="s">
        <v>92</v>
      </c>
      <c r="C22" s="65" t="s">
        <v>93</v>
      </c>
      <c r="D22" s="20" t="s">
        <v>88</v>
      </c>
      <c r="E22" s="66" t="s">
        <v>77</v>
      </c>
      <c r="F22" s="66" t="s">
        <v>78</v>
      </c>
      <c r="G22" s="66" t="s">
        <v>79</v>
      </c>
      <c r="H22" s="66" t="s">
        <v>80</v>
      </c>
      <c r="I22" s="66" t="s">
        <v>81</v>
      </c>
      <c r="J22" s="66" t="s">
        <v>82</v>
      </c>
      <c r="K22" s="67" t="s">
        <v>83</v>
      </c>
      <c r="L22" s="66" t="s">
        <v>84</v>
      </c>
      <c r="M22" s="66"/>
    </row>
    <row r="23" spans="1:16" ht="19.95" customHeight="1" x14ac:dyDescent="0.3">
      <c r="A23" s="18">
        <v>20</v>
      </c>
      <c r="B23" s="19" t="s">
        <v>95</v>
      </c>
      <c r="C23" s="18" t="s">
        <v>75</v>
      </c>
      <c r="D23" s="20" t="s">
        <v>88</v>
      </c>
      <c r="E23" s="19" t="s">
        <v>77</v>
      </c>
      <c r="F23" s="19" t="s">
        <v>78</v>
      </c>
      <c r="G23" s="19" t="s">
        <v>79</v>
      </c>
      <c r="H23" s="19" t="s">
        <v>80</v>
      </c>
      <c r="I23" s="19" t="s">
        <v>81</v>
      </c>
      <c r="J23" s="19" t="s">
        <v>82</v>
      </c>
      <c r="K23" s="21" t="s">
        <v>83</v>
      </c>
      <c r="L23" s="19" t="s">
        <v>84</v>
      </c>
      <c r="M23" s="19"/>
    </row>
    <row r="24" spans="1:16" ht="19.95" customHeight="1" x14ac:dyDescent="0.3">
      <c r="A24" s="65">
        <v>21</v>
      </c>
      <c r="B24" s="66" t="s">
        <v>96</v>
      </c>
      <c r="C24" s="65" t="s">
        <v>97</v>
      </c>
      <c r="D24" s="20" t="s">
        <v>88</v>
      </c>
      <c r="E24" s="66" t="s">
        <v>98</v>
      </c>
      <c r="F24" s="66" t="s">
        <v>78</v>
      </c>
      <c r="G24" s="66" t="s">
        <v>79</v>
      </c>
      <c r="H24" s="66" t="s">
        <v>80</v>
      </c>
      <c r="I24" s="66" t="s">
        <v>81</v>
      </c>
      <c r="J24" s="66" t="s">
        <v>82</v>
      </c>
      <c r="K24" s="67" t="s">
        <v>83</v>
      </c>
      <c r="L24" s="66" t="s">
        <v>84</v>
      </c>
      <c r="M24" s="66"/>
    </row>
    <row r="25" spans="1:16" ht="19.95" customHeight="1" x14ac:dyDescent="0.3">
      <c r="A25" s="18">
        <v>22</v>
      </c>
      <c r="B25" s="19" t="s">
        <v>100</v>
      </c>
      <c r="C25" s="18" t="s">
        <v>101</v>
      </c>
      <c r="D25" s="20" t="s">
        <v>88</v>
      </c>
      <c r="E25" s="19" t="s">
        <v>102</v>
      </c>
      <c r="F25" s="19" t="s">
        <v>78</v>
      </c>
      <c r="G25" s="19" t="s">
        <v>103</v>
      </c>
      <c r="H25" s="19" t="s">
        <v>80</v>
      </c>
      <c r="I25" s="19" t="s">
        <v>81</v>
      </c>
      <c r="J25" s="19" t="s">
        <v>82</v>
      </c>
      <c r="K25" s="21" t="s">
        <v>83</v>
      </c>
      <c r="L25" s="19" t="s">
        <v>84</v>
      </c>
      <c r="M25" s="19"/>
    </row>
    <row r="26" spans="1:16" ht="19.95" customHeight="1" x14ac:dyDescent="0.3">
      <c r="A26" s="65">
        <v>23</v>
      </c>
      <c r="B26" s="66" t="s">
        <v>142</v>
      </c>
      <c r="C26" s="65" t="s">
        <v>143</v>
      </c>
      <c r="D26" s="20" t="s">
        <v>88</v>
      </c>
      <c r="E26" s="66" t="s">
        <v>119</v>
      </c>
      <c r="F26" s="66" t="s">
        <v>78</v>
      </c>
      <c r="G26" s="66" t="s">
        <v>108</v>
      </c>
      <c r="H26" s="66" t="s">
        <v>80</v>
      </c>
      <c r="I26" s="66" t="s">
        <v>136</v>
      </c>
      <c r="J26" s="66" t="s">
        <v>82</v>
      </c>
      <c r="K26" s="67" t="s">
        <v>83</v>
      </c>
      <c r="L26" s="66" t="s">
        <v>84</v>
      </c>
      <c r="M26" s="66"/>
    </row>
    <row r="27" spans="1:16" ht="19.95" customHeight="1" x14ac:dyDescent="0.3">
      <c r="A27" s="18">
        <v>24</v>
      </c>
      <c r="B27" s="19" t="s">
        <v>144</v>
      </c>
      <c r="C27" s="18" t="s">
        <v>145</v>
      </c>
      <c r="D27" s="58" t="s">
        <v>112</v>
      </c>
      <c r="E27" s="19" t="s">
        <v>146</v>
      </c>
      <c r="F27" s="19" t="s">
        <v>78</v>
      </c>
      <c r="G27" s="19" t="s">
        <v>147</v>
      </c>
      <c r="H27" s="19" t="s">
        <v>80</v>
      </c>
      <c r="I27" s="19" t="s">
        <v>136</v>
      </c>
      <c r="J27" s="19" t="s">
        <v>82</v>
      </c>
      <c r="K27" s="21" t="s">
        <v>83</v>
      </c>
      <c r="L27" s="19" t="s">
        <v>84</v>
      </c>
      <c r="M27" s="19"/>
    </row>
    <row r="28" spans="1:16" ht="19.95" customHeight="1" x14ac:dyDescent="0.3">
      <c r="A28" s="65">
        <v>25</v>
      </c>
      <c r="B28" s="66" t="s">
        <v>105</v>
      </c>
      <c r="C28" s="65" t="s">
        <v>106</v>
      </c>
      <c r="D28" s="34" t="s">
        <v>107</v>
      </c>
      <c r="E28" s="66" t="s">
        <v>77</v>
      </c>
      <c r="F28" s="66" t="s">
        <v>78</v>
      </c>
      <c r="G28" s="66" t="s">
        <v>108</v>
      </c>
      <c r="H28" s="66" t="s">
        <v>80</v>
      </c>
      <c r="I28" s="66" t="s">
        <v>81</v>
      </c>
      <c r="J28" s="66" t="s">
        <v>82</v>
      </c>
      <c r="K28" s="67" t="s">
        <v>83</v>
      </c>
      <c r="L28" s="66" t="s">
        <v>84</v>
      </c>
      <c r="M28" s="66"/>
    </row>
    <row r="29" spans="1:16" ht="19.95" customHeight="1" x14ac:dyDescent="0.3">
      <c r="A29" s="18">
        <v>26</v>
      </c>
      <c r="B29" s="19" t="s">
        <v>109</v>
      </c>
      <c r="C29" s="18" t="s">
        <v>110</v>
      </c>
      <c r="D29" s="34" t="s">
        <v>107</v>
      </c>
      <c r="E29" s="19" t="s">
        <v>111</v>
      </c>
      <c r="F29" s="19" t="s">
        <v>78</v>
      </c>
      <c r="G29" s="19" t="s">
        <v>108</v>
      </c>
      <c r="H29" s="19" t="s">
        <v>80</v>
      </c>
      <c r="I29" s="19" t="s">
        <v>81</v>
      </c>
      <c r="J29" s="19" t="s">
        <v>82</v>
      </c>
      <c r="K29" s="21" t="s">
        <v>83</v>
      </c>
      <c r="L29" s="19" t="s">
        <v>84</v>
      </c>
      <c r="M29" s="19"/>
    </row>
    <row r="30" spans="1:16" ht="19.95" customHeight="1" x14ac:dyDescent="0.3">
      <c r="A30" s="65">
        <v>27</v>
      </c>
      <c r="B30" s="66" t="s">
        <v>113</v>
      </c>
      <c r="C30" s="65" t="s">
        <v>114</v>
      </c>
      <c r="D30" s="39" t="s">
        <v>104</v>
      </c>
      <c r="E30" s="66" t="s">
        <v>115</v>
      </c>
      <c r="F30" s="66" t="s">
        <v>78</v>
      </c>
      <c r="G30" s="66" t="s">
        <v>116</v>
      </c>
      <c r="H30" s="66" t="s">
        <v>80</v>
      </c>
      <c r="I30" s="66" t="s">
        <v>81</v>
      </c>
      <c r="J30" s="66" t="s">
        <v>82</v>
      </c>
      <c r="K30" s="67" t="s">
        <v>83</v>
      </c>
      <c r="L30" s="66" t="s">
        <v>84</v>
      </c>
      <c r="M30" s="66"/>
    </row>
    <row r="31" spans="1:16" ht="19.95" customHeight="1" x14ac:dyDescent="0.3">
      <c r="A31" s="18">
        <v>28</v>
      </c>
      <c r="B31" s="19" t="s">
        <v>113</v>
      </c>
      <c r="C31" s="18" t="s">
        <v>118</v>
      </c>
      <c r="D31" s="39" t="s">
        <v>104</v>
      </c>
      <c r="E31" s="19" t="s">
        <v>119</v>
      </c>
      <c r="F31" s="19" t="s">
        <v>78</v>
      </c>
      <c r="G31" s="19" t="s">
        <v>116</v>
      </c>
      <c r="H31" s="19" t="s">
        <v>80</v>
      </c>
      <c r="I31" s="19" t="s">
        <v>81</v>
      </c>
      <c r="J31" s="19" t="s">
        <v>82</v>
      </c>
      <c r="K31" s="21" t="s">
        <v>83</v>
      </c>
      <c r="L31" s="19" t="s">
        <v>84</v>
      </c>
      <c r="M31" s="19"/>
    </row>
    <row r="32" spans="1:16" ht="19.95" customHeight="1" x14ac:dyDescent="0.3">
      <c r="A32" s="65">
        <v>29</v>
      </c>
      <c r="B32" s="66" t="s">
        <v>148</v>
      </c>
      <c r="C32" s="65" t="s">
        <v>149</v>
      </c>
      <c r="D32" s="39" t="s">
        <v>104</v>
      </c>
      <c r="E32" s="66" t="s">
        <v>150</v>
      </c>
      <c r="F32" s="66" t="s">
        <v>78</v>
      </c>
      <c r="G32" s="66" t="s">
        <v>151</v>
      </c>
      <c r="H32" s="66" t="s">
        <v>80</v>
      </c>
      <c r="I32" s="66" t="s">
        <v>136</v>
      </c>
      <c r="J32" s="66" t="s">
        <v>82</v>
      </c>
      <c r="K32" s="67" t="s">
        <v>83</v>
      </c>
      <c r="L32" s="66" t="s">
        <v>84</v>
      </c>
      <c r="M32" s="66"/>
    </row>
    <row r="33" spans="1:13" ht="19.95" customHeight="1" x14ac:dyDescent="0.3">
      <c r="A33" s="18">
        <v>30</v>
      </c>
      <c r="B33" s="19" t="s">
        <v>152</v>
      </c>
      <c r="C33" s="18" t="s">
        <v>153</v>
      </c>
      <c r="D33" s="39" t="s">
        <v>104</v>
      </c>
      <c r="E33" s="19" t="s">
        <v>154</v>
      </c>
      <c r="F33" s="19" t="s">
        <v>78</v>
      </c>
      <c r="G33" s="19" t="s">
        <v>155</v>
      </c>
      <c r="H33" s="19" t="s">
        <v>80</v>
      </c>
      <c r="I33" s="19" t="s">
        <v>136</v>
      </c>
      <c r="J33" s="19" t="s">
        <v>82</v>
      </c>
      <c r="K33" s="21" t="s">
        <v>83</v>
      </c>
      <c r="L33" s="19" t="s">
        <v>84</v>
      </c>
      <c r="M33" s="19"/>
    </row>
    <row r="34" spans="1:13" ht="19.95" customHeight="1" x14ac:dyDescent="0.3">
      <c r="A34" s="65">
        <v>31</v>
      </c>
      <c r="B34" s="66" t="s">
        <v>121</v>
      </c>
      <c r="C34" s="65" t="s">
        <v>75</v>
      </c>
      <c r="D34" s="44" t="s">
        <v>59</v>
      </c>
      <c r="E34" s="66" t="s">
        <v>77</v>
      </c>
      <c r="F34" s="66" t="s">
        <v>78</v>
      </c>
      <c r="G34" s="66" t="s">
        <v>79</v>
      </c>
      <c r="H34" s="66" t="s">
        <v>80</v>
      </c>
      <c r="I34" s="66" t="s">
        <v>81</v>
      </c>
      <c r="J34" s="66" t="s">
        <v>82</v>
      </c>
      <c r="K34" s="67" t="s">
        <v>83</v>
      </c>
      <c r="L34" s="66" t="s">
        <v>84</v>
      </c>
      <c r="M34" s="66"/>
    </row>
    <row r="35" spans="1:13" ht="19.95" customHeight="1" x14ac:dyDescent="0.3">
      <c r="A35" s="18">
        <v>32</v>
      </c>
      <c r="B35" s="19" t="s">
        <v>121</v>
      </c>
      <c r="C35" s="18" t="s">
        <v>123</v>
      </c>
      <c r="D35" s="44" t="s">
        <v>59</v>
      </c>
      <c r="E35" s="19" t="s">
        <v>124</v>
      </c>
      <c r="F35" s="19" t="s">
        <v>78</v>
      </c>
      <c r="G35" s="19" t="s">
        <v>79</v>
      </c>
      <c r="H35" s="19" t="s">
        <v>80</v>
      </c>
      <c r="I35" s="19" t="s">
        <v>81</v>
      </c>
      <c r="J35" s="19" t="s">
        <v>82</v>
      </c>
      <c r="K35" s="21" t="s">
        <v>83</v>
      </c>
      <c r="L35" s="19" t="s">
        <v>84</v>
      </c>
      <c r="M35" s="19"/>
    </row>
    <row r="36" spans="1:13" ht="19.95" customHeight="1" x14ac:dyDescent="0.3">
      <c r="A36" s="65">
        <v>33</v>
      </c>
      <c r="B36" s="66" t="s">
        <v>126</v>
      </c>
      <c r="C36" s="65" t="s">
        <v>127</v>
      </c>
      <c r="D36" s="44" t="s">
        <v>59</v>
      </c>
      <c r="E36" s="66" t="s">
        <v>77</v>
      </c>
      <c r="F36" s="66" t="s">
        <v>78</v>
      </c>
      <c r="G36" s="66" t="s">
        <v>79</v>
      </c>
      <c r="H36" s="66" t="s">
        <v>80</v>
      </c>
      <c r="I36" s="66" t="s">
        <v>81</v>
      </c>
      <c r="J36" s="66" t="s">
        <v>82</v>
      </c>
      <c r="K36" s="67" t="s">
        <v>83</v>
      </c>
      <c r="L36" s="66" t="s">
        <v>84</v>
      </c>
      <c r="M36" s="66"/>
    </row>
    <row r="37" spans="1:13" ht="19.95" customHeight="1" x14ac:dyDescent="0.3">
      <c r="A37" s="18">
        <v>34</v>
      </c>
      <c r="B37" s="19" t="s">
        <v>156</v>
      </c>
      <c r="C37" s="18" t="s">
        <v>157</v>
      </c>
      <c r="D37" s="44" t="s">
        <v>59</v>
      </c>
      <c r="E37" s="19" t="s">
        <v>77</v>
      </c>
      <c r="F37" s="19" t="s">
        <v>78</v>
      </c>
      <c r="G37" s="19" t="s">
        <v>79</v>
      </c>
      <c r="H37" s="19" t="s">
        <v>80</v>
      </c>
      <c r="I37" s="19" t="s">
        <v>136</v>
      </c>
      <c r="J37" s="19" t="s">
        <v>82</v>
      </c>
      <c r="K37" s="21" t="s">
        <v>83</v>
      </c>
      <c r="L37" s="19" t="s">
        <v>84</v>
      </c>
      <c r="M37" s="19"/>
    </row>
    <row r="38" spans="1:13" ht="19.95" customHeight="1" x14ac:dyDescent="0.3">
      <c r="A38" s="65">
        <v>35</v>
      </c>
      <c r="B38" s="66" t="s">
        <v>194</v>
      </c>
      <c r="C38" s="65" t="s">
        <v>195</v>
      </c>
      <c r="D38" s="44" t="s">
        <v>59</v>
      </c>
      <c r="E38" s="66" t="s">
        <v>164</v>
      </c>
      <c r="F38" s="66" t="s">
        <v>165</v>
      </c>
      <c r="G38" s="66" t="s">
        <v>196</v>
      </c>
      <c r="H38" s="66" t="s">
        <v>80</v>
      </c>
      <c r="I38" s="66" t="s">
        <v>167</v>
      </c>
      <c r="J38" s="66" t="s">
        <v>82</v>
      </c>
      <c r="K38" s="67" t="s">
        <v>83</v>
      </c>
      <c r="L38" s="66" t="s">
        <v>168</v>
      </c>
      <c r="M38" s="66"/>
    </row>
    <row r="39" spans="1:13" ht="19.95" customHeight="1" x14ac:dyDescent="0.3">
      <c r="A39" s="18">
        <v>36</v>
      </c>
      <c r="B39" s="19" t="s">
        <v>197</v>
      </c>
      <c r="C39" s="18" t="s">
        <v>198</v>
      </c>
      <c r="D39" s="44" t="s">
        <v>59</v>
      </c>
      <c r="E39" s="19" t="s">
        <v>164</v>
      </c>
      <c r="F39" s="19" t="s">
        <v>165</v>
      </c>
      <c r="G39" s="19" t="s">
        <v>196</v>
      </c>
      <c r="H39" s="19" t="s">
        <v>80</v>
      </c>
      <c r="I39" s="19" t="s">
        <v>167</v>
      </c>
      <c r="J39" s="19" t="s">
        <v>82</v>
      </c>
      <c r="K39" s="21" t="s">
        <v>83</v>
      </c>
      <c r="L39" s="19" t="s">
        <v>168</v>
      </c>
      <c r="M39" s="19"/>
    </row>
    <row r="40" spans="1:13" ht="19.95" customHeight="1" x14ac:dyDescent="0.3">
      <c r="A40" s="65">
        <v>37</v>
      </c>
      <c r="B40" s="66" t="s">
        <v>199</v>
      </c>
      <c r="C40" s="65" t="s">
        <v>200</v>
      </c>
      <c r="D40" s="44" t="s">
        <v>59</v>
      </c>
      <c r="E40" s="66" t="s">
        <v>164</v>
      </c>
      <c r="F40" s="66" t="s">
        <v>165</v>
      </c>
      <c r="G40" s="66" t="s">
        <v>196</v>
      </c>
      <c r="H40" s="66" t="s">
        <v>80</v>
      </c>
      <c r="I40" s="66" t="s">
        <v>167</v>
      </c>
      <c r="J40" s="66" t="s">
        <v>82</v>
      </c>
      <c r="K40" s="67" t="s">
        <v>83</v>
      </c>
      <c r="L40" s="66" t="s">
        <v>168</v>
      </c>
      <c r="M40" s="66"/>
    </row>
    <row r="41" spans="1:13" ht="19.95" customHeight="1" x14ac:dyDescent="0.3">
      <c r="A41" s="18">
        <v>38</v>
      </c>
      <c r="B41" s="19" t="s">
        <v>201</v>
      </c>
      <c r="C41" s="18" t="s">
        <v>202</v>
      </c>
      <c r="D41" s="44" t="s">
        <v>59</v>
      </c>
      <c r="E41" s="19" t="s">
        <v>164</v>
      </c>
      <c r="F41" s="19" t="s">
        <v>165</v>
      </c>
      <c r="G41" s="19" t="s">
        <v>196</v>
      </c>
      <c r="H41" s="19" t="s">
        <v>80</v>
      </c>
      <c r="I41" s="19" t="s">
        <v>167</v>
      </c>
      <c r="J41" s="19" t="s">
        <v>82</v>
      </c>
      <c r="K41" s="21" t="s">
        <v>83</v>
      </c>
      <c r="L41" s="19" t="s">
        <v>168</v>
      </c>
      <c r="M41" s="19"/>
    </row>
    <row r="42" spans="1:13" ht="19.95" customHeight="1" x14ac:dyDescent="0.3">
      <c r="A42" s="65">
        <v>39</v>
      </c>
      <c r="B42" s="66" t="s">
        <v>203</v>
      </c>
      <c r="C42" s="65" t="s">
        <v>204</v>
      </c>
      <c r="D42" s="44" t="s">
        <v>59</v>
      </c>
      <c r="E42" s="66" t="s">
        <v>164</v>
      </c>
      <c r="F42" s="66" t="s">
        <v>165</v>
      </c>
      <c r="G42" s="66" t="s">
        <v>196</v>
      </c>
      <c r="H42" s="66" t="s">
        <v>80</v>
      </c>
      <c r="I42" s="66" t="s">
        <v>167</v>
      </c>
      <c r="J42" s="66" t="s">
        <v>82</v>
      </c>
      <c r="K42" s="67" t="s">
        <v>83</v>
      </c>
      <c r="L42" s="66" t="s">
        <v>168</v>
      </c>
      <c r="M42" s="66"/>
    </row>
    <row r="43" spans="1:13" ht="19.95" customHeight="1" x14ac:dyDescent="0.3">
      <c r="A43" s="18">
        <v>40</v>
      </c>
      <c r="B43" s="19" t="s">
        <v>205</v>
      </c>
      <c r="C43" s="18" t="s">
        <v>206</v>
      </c>
      <c r="D43" s="44" t="s">
        <v>59</v>
      </c>
      <c r="E43" s="19" t="s">
        <v>164</v>
      </c>
      <c r="F43" s="19" t="s">
        <v>165</v>
      </c>
      <c r="G43" s="19" t="s">
        <v>196</v>
      </c>
      <c r="H43" s="19" t="s">
        <v>80</v>
      </c>
      <c r="I43" s="19" t="s">
        <v>167</v>
      </c>
      <c r="J43" s="19" t="s">
        <v>82</v>
      </c>
      <c r="K43" s="21" t="s">
        <v>83</v>
      </c>
      <c r="L43" s="19" t="s">
        <v>168</v>
      </c>
      <c r="M43" s="19"/>
    </row>
    <row r="44" spans="1:13" ht="19.95" customHeight="1" x14ac:dyDescent="0.3">
      <c r="A44" s="65">
        <v>41</v>
      </c>
      <c r="B44" s="66" t="s">
        <v>207</v>
      </c>
      <c r="C44" s="65" t="s">
        <v>208</v>
      </c>
      <c r="D44" s="44" t="s">
        <v>59</v>
      </c>
      <c r="E44" s="66" t="s">
        <v>164</v>
      </c>
      <c r="F44" s="66" t="s">
        <v>165</v>
      </c>
      <c r="G44" s="66" t="s">
        <v>196</v>
      </c>
      <c r="H44" s="66" t="s">
        <v>80</v>
      </c>
      <c r="I44" s="66" t="s">
        <v>167</v>
      </c>
      <c r="J44" s="66" t="s">
        <v>82</v>
      </c>
      <c r="K44" s="67" t="s">
        <v>83</v>
      </c>
      <c r="L44" s="66" t="s">
        <v>168</v>
      </c>
      <c r="M44" s="66"/>
    </row>
    <row r="45" spans="1:13" ht="19.95" customHeight="1" x14ac:dyDescent="0.3">
      <c r="A45" s="18">
        <v>42</v>
      </c>
      <c r="B45" s="19" t="s">
        <v>209</v>
      </c>
      <c r="C45" s="18" t="s">
        <v>210</v>
      </c>
      <c r="D45" s="44" t="s">
        <v>59</v>
      </c>
      <c r="E45" s="19" t="s">
        <v>164</v>
      </c>
      <c r="F45" s="19" t="s">
        <v>165</v>
      </c>
      <c r="G45" s="19" t="s">
        <v>196</v>
      </c>
      <c r="H45" s="19" t="s">
        <v>80</v>
      </c>
      <c r="I45" s="19" t="s">
        <v>167</v>
      </c>
      <c r="J45" s="19" t="s">
        <v>82</v>
      </c>
      <c r="K45" s="21" t="s">
        <v>83</v>
      </c>
      <c r="L45" s="19" t="s">
        <v>168</v>
      </c>
      <c r="M45" s="19"/>
    </row>
    <row r="46" spans="1:13" ht="19.95" customHeight="1" x14ac:dyDescent="0.3">
      <c r="A46" s="65">
        <v>43</v>
      </c>
      <c r="B46" s="66" t="s">
        <v>211</v>
      </c>
      <c r="C46" s="65" t="s">
        <v>212</v>
      </c>
      <c r="D46" s="44" t="s">
        <v>59</v>
      </c>
      <c r="E46" s="66" t="s">
        <v>164</v>
      </c>
      <c r="F46" s="66" t="s">
        <v>165</v>
      </c>
      <c r="G46" s="66" t="s">
        <v>196</v>
      </c>
      <c r="H46" s="66" t="s">
        <v>80</v>
      </c>
      <c r="I46" s="66" t="s">
        <v>167</v>
      </c>
      <c r="J46" s="66" t="s">
        <v>82</v>
      </c>
      <c r="K46" s="67" t="s">
        <v>83</v>
      </c>
      <c r="L46" s="66" t="s">
        <v>168</v>
      </c>
      <c r="M46" s="66"/>
    </row>
    <row r="47" spans="1:13" ht="19.95" customHeight="1" x14ac:dyDescent="0.3">
      <c r="A47" s="18">
        <v>44</v>
      </c>
      <c r="B47" s="19" t="s">
        <v>213</v>
      </c>
      <c r="C47" s="18" t="s">
        <v>214</v>
      </c>
      <c r="D47" s="44" t="s">
        <v>59</v>
      </c>
      <c r="E47" s="19" t="s">
        <v>164</v>
      </c>
      <c r="F47" s="19" t="s">
        <v>165</v>
      </c>
      <c r="G47" s="19" t="s">
        <v>196</v>
      </c>
      <c r="H47" s="19" t="s">
        <v>80</v>
      </c>
      <c r="I47" s="19" t="s">
        <v>167</v>
      </c>
      <c r="J47" s="19" t="s">
        <v>82</v>
      </c>
      <c r="K47" s="21" t="s">
        <v>83</v>
      </c>
      <c r="L47" s="19" t="s">
        <v>168</v>
      </c>
      <c r="M47" s="19"/>
    </row>
    <row r="48" spans="1:13" ht="19.95" customHeight="1" x14ac:dyDescent="0.3">
      <c r="A48" s="65">
        <v>45</v>
      </c>
      <c r="B48" s="66" t="s">
        <v>215</v>
      </c>
      <c r="C48" s="65" t="s">
        <v>216</v>
      </c>
      <c r="D48" s="44" t="s">
        <v>59</v>
      </c>
      <c r="E48" s="66" t="s">
        <v>164</v>
      </c>
      <c r="F48" s="66" t="s">
        <v>165</v>
      </c>
      <c r="G48" s="66" t="s">
        <v>196</v>
      </c>
      <c r="H48" s="66" t="s">
        <v>80</v>
      </c>
      <c r="I48" s="66" t="s">
        <v>167</v>
      </c>
      <c r="J48" s="66" t="s">
        <v>82</v>
      </c>
      <c r="K48" s="67" t="s">
        <v>83</v>
      </c>
      <c r="L48" s="66" t="s">
        <v>168</v>
      </c>
      <c r="M48" s="66"/>
    </row>
    <row r="49" spans="1:13" ht="19.95" customHeight="1" x14ac:dyDescent="0.3">
      <c r="A49" s="18">
        <v>46</v>
      </c>
      <c r="B49" s="19" t="s">
        <v>217</v>
      </c>
      <c r="C49" s="18" t="s">
        <v>218</v>
      </c>
      <c r="D49" s="44" t="s">
        <v>59</v>
      </c>
      <c r="E49" s="19" t="s">
        <v>164</v>
      </c>
      <c r="F49" s="19" t="s">
        <v>165</v>
      </c>
      <c r="G49" s="19" t="s">
        <v>196</v>
      </c>
      <c r="H49" s="19" t="s">
        <v>80</v>
      </c>
      <c r="I49" s="19" t="s">
        <v>167</v>
      </c>
      <c r="J49" s="19" t="s">
        <v>82</v>
      </c>
      <c r="K49" s="21" t="s">
        <v>83</v>
      </c>
      <c r="L49" s="19" t="s">
        <v>168</v>
      </c>
      <c r="M49" s="19"/>
    </row>
    <row r="50" spans="1:13" ht="19.95" customHeight="1" x14ac:dyDescent="0.3">
      <c r="A50" s="65">
        <v>47</v>
      </c>
      <c r="B50" s="66" t="s">
        <v>219</v>
      </c>
      <c r="C50" s="65" t="s">
        <v>220</v>
      </c>
      <c r="D50" s="44" t="s">
        <v>59</v>
      </c>
      <c r="E50" s="66" t="s">
        <v>164</v>
      </c>
      <c r="F50" s="66" t="s">
        <v>165</v>
      </c>
      <c r="G50" s="66" t="s">
        <v>196</v>
      </c>
      <c r="H50" s="66" t="s">
        <v>80</v>
      </c>
      <c r="I50" s="66" t="s">
        <v>167</v>
      </c>
      <c r="J50" s="66" t="s">
        <v>82</v>
      </c>
      <c r="K50" s="67" t="s">
        <v>83</v>
      </c>
      <c r="L50" s="66" t="s">
        <v>168</v>
      </c>
      <c r="M50" s="66"/>
    </row>
    <row r="51" spans="1:13" ht="19.95" customHeight="1" x14ac:dyDescent="0.3">
      <c r="A51" s="18">
        <v>48</v>
      </c>
      <c r="B51" s="19" t="s">
        <v>221</v>
      </c>
      <c r="C51" s="18" t="s">
        <v>222</v>
      </c>
      <c r="D51" s="44" t="s">
        <v>59</v>
      </c>
      <c r="E51" s="19" t="s">
        <v>164</v>
      </c>
      <c r="F51" s="19" t="s">
        <v>165</v>
      </c>
      <c r="G51" s="19" t="s">
        <v>196</v>
      </c>
      <c r="H51" s="19" t="s">
        <v>80</v>
      </c>
      <c r="I51" s="19" t="s">
        <v>167</v>
      </c>
      <c r="J51" s="19" t="s">
        <v>82</v>
      </c>
      <c r="K51" s="21" t="s">
        <v>83</v>
      </c>
      <c r="L51" s="19" t="s">
        <v>168</v>
      </c>
      <c r="M51" s="19"/>
    </row>
    <row r="52" spans="1:13" ht="19.95" customHeight="1" x14ac:dyDescent="0.3">
      <c r="A52" s="65">
        <v>49</v>
      </c>
      <c r="B52" s="66" t="s">
        <v>223</v>
      </c>
      <c r="C52" s="65" t="s">
        <v>224</v>
      </c>
      <c r="D52" s="44" t="s">
        <v>59</v>
      </c>
      <c r="E52" s="66" t="s">
        <v>164</v>
      </c>
      <c r="F52" s="66" t="s">
        <v>165</v>
      </c>
      <c r="G52" s="66" t="s">
        <v>196</v>
      </c>
      <c r="H52" s="66" t="s">
        <v>80</v>
      </c>
      <c r="I52" s="66" t="s">
        <v>167</v>
      </c>
      <c r="J52" s="66" t="s">
        <v>82</v>
      </c>
      <c r="K52" s="67" t="s">
        <v>83</v>
      </c>
      <c r="L52" s="66" t="s">
        <v>168</v>
      </c>
      <c r="M52" s="66"/>
    </row>
    <row r="53" spans="1:13" ht="19.95" customHeight="1" x14ac:dyDescent="0.3">
      <c r="A53" s="18">
        <v>50</v>
      </c>
      <c r="B53" s="19" t="s">
        <v>225</v>
      </c>
      <c r="C53" s="18" t="s">
        <v>226</v>
      </c>
      <c r="D53" s="44" t="s">
        <v>59</v>
      </c>
      <c r="E53" s="19" t="s">
        <v>164</v>
      </c>
      <c r="F53" s="19" t="s">
        <v>165</v>
      </c>
      <c r="G53" s="19" t="s">
        <v>196</v>
      </c>
      <c r="H53" s="19" t="s">
        <v>80</v>
      </c>
      <c r="I53" s="19" t="s">
        <v>167</v>
      </c>
      <c r="J53" s="19" t="s">
        <v>82</v>
      </c>
      <c r="K53" s="21" t="s">
        <v>83</v>
      </c>
      <c r="L53" s="19" t="s">
        <v>168</v>
      </c>
      <c r="M53" s="19"/>
    </row>
    <row r="54" spans="1:13" ht="19.95" customHeight="1" x14ac:dyDescent="0.3">
      <c r="A54" s="65">
        <v>51</v>
      </c>
      <c r="B54" s="66" t="s">
        <v>227</v>
      </c>
      <c r="C54" s="65" t="s">
        <v>228</v>
      </c>
      <c r="D54" s="44" t="s">
        <v>59</v>
      </c>
      <c r="E54" s="66" t="s">
        <v>164</v>
      </c>
      <c r="F54" s="66" t="s">
        <v>165</v>
      </c>
      <c r="G54" s="66" t="s">
        <v>196</v>
      </c>
      <c r="H54" s="66" t="s">
        <v>80</v>
      </c>
      <c r="I54" s="66" t="s">
        <v>167</v>
      </c>
      <c r="J54" s="66" t="s">
        <v>82</v>
      </c>
      <c r="K54" s="67" t="s">
        <v>83</v>
      </c>
      <c r="L54" s="66" t="s">
        <v>168</v>
      </c>
      <c r="M54" s="66"/>
    </row>
    <row r="55" spans="1:13" ht="19.95" customHeight="1" x14ac:dyDescent="0.3">
      <c r="A55" s="18">
        <v>52</v>
      </c>
      <c r="B55" s="19" t="s">
        <v>229</v>
      </c>
      <c r="C55" s="18" t="s">
        <v>230</v>
      </c>
      <c r="D55" s="44" t="s">
        <v>59</v>
      </c>
      <c r="E55" s="19" t="s">
        <v>164</v>
      </c>
      <c r="F55" s="19" t="s">
        <v>165</v>
      </c>
      <c r="G55" s="19" t="s">
        <v>196</v>
      </c>
      <c r="H55" s="19" t="s">
        <v>80</v>
      </c>
      <c r="I55" s="19" t="s">
        <v>167</v>
      </c>
      <c r="J55" s="19" t="s">
        <v>82</v>
      </c>
      <c r="K55" s="21" t="s">
        <v>83</v>
      </c>
      <c r="L55" s="19" t="s">
        <v>168</v>
      </c>
      <c r="M55" s="19"/>
    </row>
    <row r="56" spans="1:13" ht="19.95" customHeight="1" x14ac:dyDescent="0.3">
      <c r="A56" s="65">
        <v>53</v>
      </c>
      <c r="B56" s="66" t="s">
        <v>231</v>
      </c>
      <c r="C56" s="65" t="s">
        <v>232</v>
      </c>
      <c r="D56" s="44" t="s">
        <v>59</v>
      </c>
      <c r="E56" s="66" t="s">
        <v>164</v>
      </c>
      <c r="F56" s="66" t="s">
        <v>165</v>
      </c>
      <c r="G56" s="66" t="s">
        <v>196</v>
      </c>
      <c r="H56" s="66" t="s">
        <v>80</v>
      </c>
      <c r="I56" s="66" t="s">
        <v>167</v>
      </c>
      <c r="J56" s="66" t="s">
        <v>82</v>
      </c>
      <c r="K56" s="67" t="s">
        <v>83</v>
      </c>
      <c r="L56" s="66" t="s">
        <v>168</v>
      </c>
      <c r="M56" s="66"/>
    </row>
    <row r="57" spans="1:13" ht="19.95" customHeight="1" x14ac:dyDescent="0.3">
      <c r="A57" s="18">
        <v>54</v>
      </c>
      <c r="B57" s="19" t="s">
        <v>233</v>
      </c>
      <c r="C57" s="18" t="s">
        <v>234</v>
      </c>
      <c r="D57" s="44" t="s">
        <v>59</v>
      </c>
      <c r="E57" s="19" t="s">
        <v>164</v>
      </c>
      <c r="F57" s="19" t="s">
        <v>165</v>
      </c>
      <c r="G57" s="19" t="s">
        <v>196</v>
      </c>
      <c r="H57" s="19" t="s">
        <v>80</v>
      </c>
      <c r="I57" s="19" t="s">
        <v>167</v>
      </c>
      <c r="J57" s="19" t="s">
        <v>82</v>
      </c>
      <c r="K57" s="21" t="s">
        <v>83</v>
      </c>
      <c r="L57" s="19" t="s">
        <v>168</v>
      </c>
      <c r="M57" s="19"/>
    </row>
    <row r="58" spans="1:13" ht="19.95" customHeight="1" x14ac:dyDescent="0.3">
      <c r="A58" s="65">
        <v>55</v>
      </c>
      <c r="B58" s="66" t="s">
        <v>235</v>
      </c>
      <c r="C58" s="65" t="s">
        <v>236</v>
      </c>
      <c r="D58" s="44" t="s">
        <v>59</v>
      </c>
      <c r="E58" s="66" t="s">
        <v>164</v>
      </c>
      <c r="F58" s="66" t="s">
        <v>165</v>
      </c>
      <c r="G58" s="66" t="s">
        <v>196</v>
      </c>
      <c r="H58" s="66" t="s">
        <v>80</v>
      </c>
      <c r="I58" s="66" t="s">
        <v>167</v>
      </c>
      <c r="J58" s="66" t="s">
        <v>82</v>
      </c>
      <c r="K58" s="67" t="s">
        <v>83</v>
      </c>
      <c r="L58" s="66" t="s">
        <v>168</v>
      </c>
      <c r="M58" s="66"/>
    </row>
    <row r="59" spans="1:13" ht="19.95" customHeight="1" x14ac:dyDescent="0.3">
      <c r="A59" s="18">
        <v>56</v>
      </c>
      <c r="B59" s="19" t="s">
        <v>237</v>
      </c>
      <c r="C59" s="18" t="s">
        <v>238</v>
      </c>
      <c r="D59" s="44" t="s">
        <v>59</v>
      </c>
      <c r="E59" s="19" t="s">
        <v>164</v>
      </c>
      <c r="F59" s="19" t="s">
        <v>165</v>
      </c>
      <c r="G59" s="19" t="s">
        <v>196</v>
      </c>
      <c r="H59" s="19" t="s">
        <v>80</v>
      </c>
      <c r="I59" s="19" t="s">
        <v>167</v>
      </c>
      <c r="J59" s="19" t="s">
        <v>82</v>
      </c>
      <c r="K59" s="21" t="s">
        <v>83</v>
      </c>
      <c r="L59" s="19" t="s">
        <v>168</v>
      </c>
      <c r="M59" s="19"/>
    </row>
    <row r="60" spans="1:13" ht="19.95" customHeight="1" x14ac:dyDescent="0.3">
      <c r="A60" s="65">
        <v>57</v>
      </c>
      <c r="B60" s="66" t="s">
        <v>239</v>
      </c>
      <c r="C60" s="65" t="s">
        <v>240</v>
      </c>
      <c r="D60" s="44" t="s">
        <v>59</v>
      </c>
      <c r="E60" s="66" t="s">
        <v>164</v>
      </c>
      <c r="F60" s="66" t="s">
        <v>165</v>
      </c>
      <c r="G60" s="66" t="s">
        <v>196</v>
      </c>
      <c r="H60" s="66" t="s">
        <v>80</v>
      </c>
      <c r="I60" s="66" t="s">
        <v>167</v>
      </c>
      <c r="J60" s="66" t="s">
        <v>82</v>
      </c>
      <c r="K60" s="67" t="s">
        <v>83</v>
      </c>
      <c r="L60" s="66" t="s">
        <v>168</v>
      </c>
      <c r="M60" s="66"/>
    </row>
    <row r="61" spans="1:13" ht="19.95" customHeight="1" x14ac:dyDescent="0.3">
      <c r="A61" s="18">
        <v>58</v>
      </c>
      <c r="B61" s="19" t="s">
        <v>241</v>
      </c>
      <c r="C61" s="18" t="s">
        <v>242</v>
      </c>
      <c r="D61" s="44" t="s">
        <v>59</v>
      </c>
      <c r="E61" s="19" t="s">
        <v>164</v>
      </c>
      <c r="F61" s="19" t="s">
        <v>165</v>
      </c>
      <c r="G61" s="19" t="s">
        <v>196</v>
      </c>
      <c r="H61" s="19" t="s">
        <v>80</v>
      </c>
      <c r="I61" s="19" t="s">
        <v>167</v>
      </c>
      <c r="J61" s="19" t="s">
        <v>82</v>
      </c>
      <c r="K61" s="21" t="s">
        <v>83</v>
      </c>
      <c r="L61" s="19" t="s">
        <v>168</v>
      </c>
      <c r="M61" s="19"/>
    </row>
    <row r="62" spans="1:13" ht="19.95" customHeight="1" x14ac:dyDescent="0.3">
      <c r="A62" s="65">
        <v>59</v>
      </c>
      <c r="B62" s="66" t="s">
        <v>243</v>
      </c>
      <c r="C62" s="65" t="s">
        <v>244</v>
      </c>
      <c r="D62" s="44" t="s">
        <v>59</v>
      </c>
      <c r="E62" s="66" t="s">
        <v>164</v>
      </c>
      <c r="F62" s="66" t="s">
        <v>165</v>
      </c>
      <c r="G62" s="66" t="s">
        <v>196</v>
      </c>
      <c r="H62" s="66" t="s">
        <v>80</v>
      </c>
      <c r="I62" s="66" t="s">
        <v>167</v>
      </c>
      <c r="J62" s="66" t="s">
        <v>82</v>
      </c>
      <c r="K62" s="67" t="s">
        <v>83</v>
      </c>
      <c r="L62" s="66" t="s">
        <v>168</v>
      </c>
      <c r="M62" s="66"/>
    </row>
    <row r="63" spans="1:13" ht="19.95" customHeight="1" x14ac:dyDescent="0.3">
      <c r="A63" s="18">
        <v>60</v>
      </c>
      <c r="B63" s="19" t="s">
        <v>245</v>
      </c>
      <c r="C63" s="18" t="s">
        <v>246</v>
      </c>
      <c r="D63" s="44" t="s">
        <v>59</v>
      </c>
      <c r="E63" s="19" t="s">
        <v>164</v>
      </c>
      <c r="F63" s="19" t="s">
        <v>165</v>
      </c>
      <c r="G63" s="19" t="s">
        <v>196</v>
      </c>
      <c r="H63" s="19" t="s">
        <v>80</v>
      </c>
      <c r="I63" s="19" t="s">
        <v>167</v>
      </c>
      <c r="J63" s="19" t="s">
        <v>82</v>
      </c>
      <c r="K63" s="21" t="s">
        <v>83</v>
      </c>
      <c r="L63" s="19" t="s">
        <v>168</v>
      </c>
      <c r="M63" s="19"/>
    </row>
    <row r="64" spans="1:13" ht="19.95" customHeight="1" x14ac:dyDescent="0.3">
      <c r="A64" s="65">
        <v>61</v>
      </c>
      <c r="B64" s="66" t="s">
        <v>247</v>
      </c>
      <c r="C64" s="65" t="s">
        <v>248</v>
      </c>
      <c r="D64" s="44" t="s">
        <v>59</v>
      </c>
      <c r="E64" s="66" t="s">
        <v>164</v>
      </c>
      <c r="F64" s="66" t="s">
        <v>165</v>
      </c>
      <c r="G64" s="66" t="s">
        <v>196</v>
      </c>
      <c r="H64" s="66" t="s">
        <v>80</v>
      </c>
      <c r="I64" s="66" t="s">
        <v>167</v>
      </c>
      <c r="J64" s="66" t="s">
        <v>82</v>
      </c>
      <c r="K64" s="67" t="s">
        <v>83</v>
      </c>
      <c r="L64" s="66" t="s">
        <v>168</v>
      </c>
      <c r="M64" s="66"/>
    </row>
    <row r="65" spans="1:13" ht="19.95" customHeight="1" x14ac:dyDescent="0.3">
      <c r="A65" s="18">
        <v>62</v>
      </c>
      <c r="B65" s="19" t="s">
        <v>249</v>
      </c>
      <c r="C65" s="18" t="s">
        <v>250</v>
      </c>
      <c r="D65" s="44" t="s">
        <v>59</v>
      </c>
      <c r="E65" s="19" t="s">
        <v>164</v>
      </c>
      <c r="F65" s="19" t="s">
        <v>165</v>
      </c>
      <c r="G65" s="19" t="s">
        <v>196</v>
      </c>
      <c r="H65" s="19" t="s">
        <v>80</v>
      </c>
      <c r="I65" s="19" t="s">
        <v>167</v>
      </c>
      <c r="J65" s="19" t="s">
        <v>82</v>
      </c>
      <c r="K65" s="21" t="s">
        <v>83</v>
      </c>
      <c r="L65" s="19" t="s">
        <v>168</v>
      </c>
      <c r="M65" s="19"/>
    </row>
    <row r="66" spans="1:13" ht="19.95" customHeight="1" x14ac:dyDescent="0.3">
      <c r="A66" s="65">
        <v>63</v>
      </c>
      <c r="B66" s="66" t="s">
        <v>251</v>
      </c>
      <c r="C66" s="65" t="s">
        <v>252</v>
      </c>
      <c r="D66" s="44" t="s">
        <v>59</v>
      </c>
      <c r="E66" s="66" t="s">
        <v>164</v>
      </c>
      <c r="F66" s="66" t="s">
        <v>165</v>
      </c>
      <c r="G66" s="66" t="s">
        <v>196</v>
      </c>
      <c r="H66" s="66" t="s">
        <v>80</v>
      </c>
      <c r="I66" s="66" t="s">
        <v>167</v>
      </c>
      <c r="J66" s="66" t="s">
        <v>82</v>
      </c>
      <c r="K66" s="67" t="s">
        <v>83</v>
      </c>
      <c r="L66" s="66" t="s">
        <v>168</v>
      </c>
      <c r="M66" s="66"/>
    </row>
    <row r="67" spans="1:13" ht="19.95" customHeight="1" x14ac:dyDescent="0.3">
      <c r="A67" s="18">
        <v>64</v>
      </c>
      <c r="B67" s="19" t="s">
        <v>253</v>
      </c>
      <c r="C67" s="18" t="s">
        <v>254</v>
      </c>
      <c r="D67" s="44" t="s">
        <v>59</v>
      </c>
      <c r="E67" s="19" t="s">
        <v>164</v>
      </c>
      <c r="F67" s="19" t="s">
        <v>165</v>
      </c>
      <c r="G67" s="19" t="s">
        <v>196</v>
      </c>
      <c r="H67" s="19" t="s">
        <v>80</v>
      </c>
      <c r="I67" s="19" t="s">
        <v>167</v>
      </c>
      <c r="J67" s="19" t="s">
        <v>82</v>
      </c>
      <c r="K67" s="21" t="s">
        <v>83</v>
      </c>
      <c r="L67" s="19" t="s">
        <v>168</v>
      </c>
      <c r="M67" s="19"/>
    </row>
    <row r="68" spans="1:13" ht="19.95" customHeight="1" x14ac:dyDescent="0.3">
      <c r="A68" s="65">
        <v>65</v>
      </c>
      <c r="B68" s="66" t="s">
        <v>255</v>
      </c>
      <c r="C68" s="65" t="s">
        <v>256</v>
      </c>
      <c r="D68" s="44" t="s">
        <v>59</v>
      </c>
      <c r="E68" s="66" t="s">
        <v>164</v>
      </c>
      <c r="F68" s="66" t="s">
        <v>165</v>
      </c>
      <c r="G68" s="66" t="s">
        <v>196</v>
      </c>
      <c r="H68" s="66" t="s">
        <v>80</v>
      </c>
      <c r="I68" s="66" t="s">
        <v>167</v>
      </c>
      <c r="J68" s="66" t="s">
        <v>82</v>
      </c>
      <c r="K68" s="67" t="s">
        <v>83</v>
      </c>
      <c r="L68" s="66" t="s">
        <v>168</v>
      </c>
      <c r="M68" s="66"/>
    </row>
    <row r="69" spans="1:13" ht="19.95" customHeight="1" x14ac:dyDescent="0.3">
      <c r="A69" s="18">
        <v>66</v>
      </c>
      <c r="B69" s="19" t="s">
        <v>257</v>
      </c>
      <c r="C69" s="18" t="s">
        <v>258</v>
      </c>
      <c r="D69" s="44" t="s">
        <v>59</v>
      </c>
      <c r="E69" s="19" t="s">
        <v>164</v>
      </c>
      <c r="F69" s="19" t="s">
        <v>165</v>
      </c>
      <c r="G69" s="19" t="s">
        <v>196</v>
      </c>
      <c r="H69" s="19" t="s">
        <v>80</v>
      </c>
      <c r="I69" s="19" t="s">
        <v>167</v>
      </c>
      <c r="J69" s="19" t="s">
        <v>82</v>
      </c>
      <c r="K69" s="21" t="s">
        <v>83</v>
      </c>
      <c r="L69" s="19" t="s">
        <v>168</v>
      </c>
      <c r="M69" s="19"/>
    </row>
    <row r="70" spans="1:13" ht="19.95" customHeight="1" x14ac:dyDescent="0.3">
      <c r="A70" s="65">
        <v>67</v>
      </c>
      <c r="B70" s="66" t="s">
        <v>259</v>
      </c>
      <c r="C70" s="65" t="s">
        <v>260</v>
      </c>
      <c r="D70" s="44" t="s">
        <v>59</v>
      </c>
      <c r="E70" s="66" t="s">
        <v>164</v>
      </c>
      <c r="F70" s="66" t="s">
        <v>165</v>
      </c>
      <c r="G70" s="66" t="s">
        <v>196</v>
      </c>
      <c r="H70" s="66" t="s">
        <v>80</v>
      </c>
      <c r="I70" s="66" t="s">
        <v>167</v>
      </c>
      <c r="J70" s="66" t="s">
        <v>82</v>
      </c>
      <c r="K70" s="67" t="s">
        <v>83</v>
      </c>
      <c r="L70" s="66" t="s">
        <v>168</v>
      </c>
      <c r="M70" s="66"/>
    </row>
    <row r="71" spans="1:13" ht="19.95" customHeight="1" x14ac:dyDescent="0.3">
      <c r="A71" s="18">
        <v>68</v>
      </c>
      <c r="B71" s="19" t="s">
        <v>261</v>
      </c>
      <c r="C71" s="18" t="s">
        <v>262</v>
      </c>
      <c r="D71" s="44" t="s">
        <v>59</v>
      </c>
      <c r="E71" s="19" t="s">
        <v>164</v>
      </c>
      <c r="F71" s="19" t="s">
        <v>165</v>
      </c>
      <c r="G71" s="19" t="s">
        <v>196</v>
      </c>
      <c r="H71" s="19" t="s">
        <v>80</v>
      </c>
      <c r="I71" s="19" t="s">
        <v>167</v>
      </c>
      <c r="J71" s="19" t="s">
        <v>82</v>
      </c>
      <c r="K71" s="21" t="s">
        <v>83</v>
      </c>
      <c r="L71" s="19" t="s">
        <v>168</v>
      </c>
      <c r="M71" s="19"/>
    </row>
    <row r="72" spans="1:13" ht="19.95" customHeight="1" x14ac:dyDescent="0.3">
      <c r="A72" s="65">
        <v>69</v>
      </c>
      <c r="B72" s="66" t="s">
        <v>263</v>
      </c>
      <c r="C72" s="65" t="s">
        <v>264</v>
      </c>
      <c r="D72" s="44" t="s">
        <v>59</v>
      </c>
      <c r="E72" s="66" t="s">
        <v>164</v>
      </c>
      <c r="F72" s="66" t="s">
        <v>165</v>
      </c>
      <c r="G72" s="66" t="s">
        <v>196</v>
      </c>
      <c r="H72" s="66" t="s">
        <v>80</v>
      </c>
      <c r="I72" s="66" t="s">
        <v>167</v>
      </c>
      <c r="J72" s="66" t="s">
        <v>82</v>
      </c>
      <c r="K72" s="67" t="s">
        <v>83</v>
      </c>
      <c r="L72" s="66" t="s">
        <v>168</v>
      </c>
      <c r="M72" s="66"/>
    </row>
    <row r="73" spans="1:13" ht="19.95" customHeight="1" x14ac:dyDescent="0.3">
      <c r="A73" s="18">
        <v>70</v>
      </c>
      <c r="B73" s="19" t="s">
        <v>265</v>
      </c>
      <c r="C73" s="18" t="s">
        <v>266</v>
      </c>
      <c r="D73" s="44" t="s">
        <v>59</v>
      </c>
      <c r="E73" s="19" t="s">
        <v>164</v>
      </c>
      <c r="F73" s="19" t="s">
        <v>165</v>
      </c>
      <c r="G73" s="19" t="s">
        <v>196</v>
      </c>
      <c r="H73" s="19" t="s">
        <v>80</v>
      </c>
      <c r="I73" s="19" t="s">
        <v>167</v>
      </c>
      <c r="J73" s="19" t="s">
        <v>82</v>
      </c>
      <c r="K73" s="21" t="s">
        <v>83</v>
      </c>
      <c r="L73" s="19" t="s">
        <v>168</v>
      </c>
      <c r="M73" s="19"/>
    </row>
    <row r="74" spans="1:13" ht="19.95" customHeight="1" x14ac:dyDescent="0.3">
      <c r="A74" s="65">
        <v>71</v>
      </c>
      <c r="B74" s="66" t="s">
        <v>267</v>
      </c>
      <c r="C74" s="65" t="s">
        <v>268</v>
      </c>
      <c r="D74" s="44" t="s">
        <v>59</v>
      </c>
      <c r="E74" s="66" t="s">
        <v>164</v>
      </c>
      <c r="F74" s="66" t="s">
        <v>165</v>
      </c>
      <c r="G74" s="66" t="s">
        <v>196</v>
      </c>
      <c r="H74" s="66" t="s">
        <v>80</v>
      </c>
      <c r="I74" s="66" t="s">
        <v>167</v>
      </c>
      <c r="J74" s="66" t="s">
        <v>82</v>
      </c>
      <c r="K74" s="67" t="s">
        <v>83</v>
      </c>
      <c r="L74" s="66" t="s">
        <v>168</v>
      </c>
      <c r="M74" s="66"/>
    </row>
    <row r="75" spans="1:13" ht="19.95" customHeight="1" x14ac:dyDescent="0.3">
      <c r="A75" s="18">
        <v>72</v>
      </c>
      <c r="B75" s="19" t="s">
        <v>269</v>
      </c>
      <c r="C75" s="18" t="s">
        <v>270</v>
      </c>
      <c r="D75" s="44" t="s">
        <v>59</v>
      </c>
      <c r="E75" s="19" t="s">
        <v>164</v>
      </c>
      <c r="F75" s="19" t="s">
        <v>165</v>
      </c>
      <c r="G75" s="19" t="s">
        <v>196</v>
      </c>
      <c r="H75" s="19" t="s">
        <v>80</v>
      </c>
      <c r="I75" s="19" t="s">
        <v>167</v>
      </c>
      <c r="J75" s="19" t="s">
        <v>82</v>
      </c>
      <c r="K75" s="21" t="s">
        <v>83</v>
      </c>
      <c r="L75" s="19" t="s">
        <v>168</v>
      </c>
      <c r="M75" s="19"/>
    </row>
    <row r="76" spans="1:13" ht="19.95" customHeight="1" x14ac:dyDescent="0.3">
      <c r="A76" s="65">
        <v>73</v>
      </c>
      <c r="B76" s="66" t="s">
        <v>128</v>
      </c>
      <c r="C76" s="65" t="s">
        <v>75</v>
      </c>
      <c r="D76" s="51" t="s">
        <v>91</v>
      </c>
      <c r="E76" s="66" t="s">
        <v>77</v>
      </c>
      <c r="F76" s="66" t="s">
        <v>78</v>
      </c>
      <c r="G76" s="66" t="s">
        <v>79</v>
      </c>
      <c r="H76" s="66" t="s">
        <v>80</v>
      </c>
      <c r="I76" s="66" t="s">
        <v>81</v>
      </c>
      <c r="J76" s="66" t="s">
        <v>82</v>
      </c>
      <c r="K76" s="67" t="s">
        <v>83</v>
      </c>
      <c r="L76" s="66" t="s">
        <v>84</v>
      </c>
      <c r="M76" s="66"/>
    </row>
    <row r="77" spans="1:13" ht="19.95" customHeight="1" x14ac:dyDescent="0.3">
      <c r="A77" s="18">
        <v>74</v>
      </c>
      <c r="B77" s="19" t="s">
        <v>129</v>
      </c>
      <c r="C77" s="18" t="s">
        <v>75</v>
      </c>
      <c r="D77" s="51" t="s">
        <v>91</v>
      </c>
      <c r="E77" s="19" t="s">
        <v>77</v>
      </c>
      <c r="F77" s="19" t="s">
        <v>78</v>
      </c>
      <c r="G77" s="19" t="s">
        <v>79</v>
      </c>
      <c r="H77" s="19" t="s">
        <v>80</v>
      </c>
      <c r="I77" s="19" t="s">
        <v>81</v>
      </c>
      <c r="J77" s="19" t="s">
        <v>82</v>
      </c>
      <c r="K77" s="21" t="s">
        <v>83</v>
      </c>
      <c r="L77" s="19" t="s">
        <v>84</v>
      </c>
      <c r="M77" s="19"/>
    </row>
    <row r="78" spans="1:13" ht="19.95" customHeight="1" x14ac:dyDescent="0.3">
      <c r="A78" s="65">
        <v>75</v>
      </c>
      <c r="B78" s="66" t="s">
        <v>158</v>
      </c>
      <c r="C78" s="65" t="s">
        <v>159</v>
      </c>
      <c r="D78" s="51" t="s">
        <v>91</v>
      </c>
      <c r="E78" s="66" t="s">
        <v>77</v>
      </c>
      <c r="F78" s="66" t="s">
        <v>78</v>
      </c>
      <c r="G78" s="66" t="s">
        <v>108</v>
      </c>
      <c r="H78" s="66" t="s">
        <v>80</v>
      </c>
      <c r="I78" s="66" t="s">
        <v>136</v>
      </c>
      <c r="J78" s="66" t="s">
        <v>82</v>
      </c>
      <c r="K78" s="67" t="s">
        <v>83</v>
      </c>
      <c r="L78" s="66" t="s">
        <v>84</v>
      </c>
      <c r="M78" s="66"/>
    </row>
  </sheetData>
  <autoFilter ref="A3:M78" xr:uid="{00000000-0009-0000-0000-000004000000}"/>
  <mergeCells count="3">
    <mergeCell ref="O1:P1"/>
    <mergeCell ref="A2:M2"/>
    <mergeCell ref="A1:M1"/>
  </mergeCells>
  <dataValidations count="1">
    <dataValidation type="list" allowBlank="1" sqref="J4:J98" xr:uid="{00000000-0002-0000-04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400-000000000000}"/>
    <hyperlink ref="K5" r:id="rId2" xr:uid="{00000000-0004-0000-0400-000001000000}"/>
    <hyperlink ref="K6" r:id="rId3" xr:uid="{00000000-0004-0000-0400-000002000000}"/>
    <hyperlink ref="K7" r:id="rId4" xr:uid="{00000000-0004-0000-0400-000003000000}"/>
    <hyperlink ref="K8" r:id="rId5" xr:uid="{00000000-0004-0000-0400-000004000000}"/>
    <hyperlink ref="K9" r:id="rId6" xr:uid="{00000000-0004-0000-0400-000005000000}"/>
    <hyperlink ref="K10" r:id="rId7" xr:uid="{00000000-0004-0000-0400-000006000000}"/>
    <hyperlink ref="K11" r:id="rId8" xr:uid="{00000000-0004-0000-0400-000007000000}"/>
    <hyperlink ref="K12" r:id="rId9" xr:uid="{00000000-0004-0000-0400-000008000000}"/>
    <hyperlink ref="K13" r:id="rId10" xr:uid="{00000000-0004-0000-0400-000009000000}"/>
    <hyperlink ref="K14" r:id="rId11" xr:uid="{00000000-0004-0000-0400-00000A000000}"/>
    <hyperlink ref="K15" r:id="rId12" xr:uid="{00000000-0004-0000-0400-00000B000000}"/>
    <hyperlink ref="K16" r:id="rId13" xr:uid="{00000000-0004-0000-0400-00000C000000}"/>
    <hyperlink ref="K17" r:id="rId14" xr:uid="{00000000-0004-0000-0400-00000D000000}"/>
    <hyperlink ref="K18" r:id="rId15" xr:uid="{00000000-0004-0000-0400-00000E000000}"/>
    <hyperlink ref="K19" r:id="rId16" xr:uid="{00000000-0004-0000-0400-00000F000000}"/>
    <hyperlink ref="K20" r:id="rId17" xr:uid="{00000000-0004-0000-0400-000010000000}"/>
    <hyperlink ref="K21" r:id="rId18" xr:uid="{00000000-0004-0000-0400-000011000000}"/>
    <hyperlink ref="K22" r:id="rId19" xr:uid="{00000000-0004-0000-0400-000012000000}"/>
    <hyperlink ref="K23" r:id="rId20" xr:uid="{00000000-0004-0000-0400-000013000000}"/>
    <hyperlink ref="K24" r:id="rId21" xr:uid="{00000000-0004-0000-0400-000014000000}"/>
    <hyperlink ref="K25" r:id="rId22" xr:uid="{00000000-0004-0000-0400-000015000000}"/>
    <hyperlink ref="K26" r:id="rId23" xr:uid="{00000000-0004-0000-0400-000016000000}"/>
    <hyperlink ref="K27" r:id="rId24" xr:uid="{00000000-0004-0000-0400-000017000000}"/>
    <hyperlink ref="K28" r:id="rId25" xr:uid="{00000000-0004-0000-0400-000018000000}"/>
    <hyperlink ref="K29" r:id="rId26" xr:uid="{00000000-0004-0000-0400-000019000000}"/>
    <hyperlink ref="K30" r:id="rId27" xr:uid="{00000000-0004-0000-0400-00001A000000}"/>
    <hyperlink ref="K31" r:id="rId28" xr:uid="{00000000-0004-0000-0400-00001B000000}"/>
    <hyperlink ref="K32" r:id="rId29" xr:uid="{00000000-0004-0000-0400-00001C000000}"/>
    <hyperlink ref="K33" r:id="rId30" xr:uid="{00000000-0004-0000-0400-00001D000000}"/>
    <hyperlink ref="K34" r:id="rId31" xr:uid="{00000000-0004-0000-0400-00001E000000}"/>
    <hyperlink ref="K35" r:id="rId32" xr:uid="{00000000-0004-0000-0400-00001F000000}"/>
    <hyperlink ref="K36" r:id="rId33" xr:uid="{00000000-0004-0000-0400-000020000000}"/>
    <hyperlink ref="K37" r:id="rId34" xr:uid="{00000000-0004-0000-0400-000021000000}"/>
    <hyperlink ref="K38" r:id="rId35" xr:uid="{00000000-0004-0000-0400-000022000000}"/>
    <hyperlink ref="K39" r:id="rId36" xr:uid="{00000000-0004-0000-0400-000023000000}"/>
    <hyperlink ref="K40" r:id="rId37" xr:uid="{00000000-0004-0000-0400-000024000000}"/>
    <hyperlink ref="K41" r:id="rId38" xr:uid="{00000000-0004-0000-0400-000025000000}"/>
    <hyperlink ref="K42" r:id="rId39" xr:uid="{00000000-0004-0000-0400-000026000000}"/>
    <hyperlink ref="K43" r:id="rId40" xr:uid="{00000000-0004-0000-0400-000027000000}"/>
    <hyperlink ref="K44" r:id="rId41" xr:uid="{00000000-0004-0000-0400-000028000000}"/>
    <hyperlink ref="K45" r:id="rId42" xr:uid="{00000000-0004-0000-0400-000029000000}"/>
    <hyperlink ref="K46" r:id="rId43" xr:uid="{00000000-0004-0000-0400-00002A000000}"/>
    <hyperlink ref="K47" r:id="rId44" location="exp=0-2" xr:uid="{00000000-0004-0000-0400-00002B000000}"/>
    <hyperlink ref="K48" r:id="rId45" xr:uid="{00000000-0004-0000-0400-00002C000000}"/>
    <hyperlink ref="K49" r:id="rId46" location="q=fresher&amp;t=Jobs" xr:uid="{00000000-0004-0000-0400-00002D000000}"/>
    <hyperlink ref="K50" r:id="rId47" xr:uid="{00000000-0004-0000-0400-00002E000000}"/>
    <hyperlink ref="K51" r:id="rId48" xr:uid="{00000000-0004-0000-0400-00002F000000}"/>
    <hyperlink ref="K52" r:id="rId49" xr:uid="{00000000-0004-0000-0400-000030000000}"/>
    <hyperlink ref="K53" r:id="rId50" xr:uid="{00000000-0004-0000-0400-000031000000}"/>
    <hyperlink ref="K54" r:id="rId51" xr:uid="{00000000-0004-0000-0400-000032000000}"/>
    <hyperlink ref="K55" r:id="rId52" xr:uid="{00000000-0004-0000-0400-000033000000}"/>
    <hyperlink ref="K56" r:id="rId53" xr:uid="{00000000-0004-0000-0400-000034000000}"/>
    <hyperlink ref="K57" r:id="rId54" xr:uid="{00000000-0004-0000-0400-000035000000}"/>
    <hyperlink ref="K58" r:id="rId55" xr:uid="{00000000-0004-0000-0400-000036000000}"/>
    <hyperlink ref="K59" r:id="rId56" location="q=fresher%20trainee" xr:uid="{00000000-0004-0000-0400-000037000000}"/>
    <hyperlink ref="K60" r:id="rId57" xr:uid="{00000000-0004-0000-0400-000038000000}"/>
    <hyperlink ref="K61" r:id="rId58" xr:uid="{00000000-0004-0000-0400-000039000000}"/>
    <hyperlink ref="K62" r:id="rId59" location="!/joblist" xr:uid="{00000000-0004-0000-0400-00003A000000}"/>
    <hyperlink ref="K63" r:id="rId60" location="careers" xr:uid="{00000000-0004-0000-0400-00003B000000}"/>
    <hyperlink ref="K64" r:id="rId61" xr:uid="{00000000-0004-0000-0400-00003C000000}"/>
    <hyperlink ref="K65" r:id="rId62" xr:uid="{00000000-0004-0000-0400-00003D000000}"/>
    <hyperlink ref="K66" r:id="rId63" xr:uid="{00000000-0004-0000-0400-00003E000000}"/>
    <hyperlink ref="K67" r:id="rId64" xr:uid="{00000000-0004-0000-0400-00003F000000}"/>
    <hyperlink ref="K68" r:id="rId65" xr:uid="{00000000-0004-0000-0400-000040000000}"/>
    <hyperlink ref="K69" r:id="rId66" xr:uid="{00000000-0004-0000-0400-000041000000}"/>
    <hyperlink ref="K70" r:id="rId67" xr:uid="{00000000-0004-0000-0400-000042000000}"/>
    <hyperlink ref="K71" r:id="rId68" xr:uid="{00000000-0004-0000-0400-000043000000}"/>
    <hyperlink ref="K72" r:id="rId69" xr:uid="{00000000-0004-0000-0400-000044000000}"/>
    <hyperlink ref="K73" r:id="rId70" xr:uid="{00000000-0004-0000-0400-000045000000}"/>
    <hyperlink ref="K74" r:id="rId71" xr:uid="{00000000-0004-0000-0400-000046000000}"/>
    <hyperlink ref="K75" r:id="rId72" xr:uid="{00000000-0004-0000-0400-000047000000}"/>
    <hyperlink ref="K76" r:id="rId73" xr:uid="{00000000-0004-0000-0400-000048000000}"/>
    <hyperlink ref="K77" r:id="rId74" xr:uid="{00000000-0004-0000-0400-000049000000}"/>
    <hyperlink ref="K78" r:id="rId75" xr:uid="{00000000-0004-0000-0400-00004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3C5E"/>
  </sheetPr>
  <dimension ref="A1:P45"/>
  <sheetViews>
    <sheetView workbookViewId="0">
      <pane ySplit="3" topLeftCell="A4" activePane="bottomLeft" state="frozen"/>
      <selection pane="bottomLeft" activeCell="K14" sqref="K14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05" t="s">
        <v>273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03" t="s">
        <v>57</v>
      </c>
      <c r="P1" s="101"/>
    </row>
    <row r="2" spans="1:16" ht="19.95" customHeight="1" x14ac:dyDescent="0.3">
      <c r="A2" s="104" t="s">
        <v>274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COUNTIF(D4:D45,"Software Development")</f>
        <v>42</v>
      </c>
    </row>
    <row r="3" spans="1:16" ht="19.95" customHeight="1" x14ac:dyDescent="0.3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9" t="s">
        <v>72</v>
      </c>
      <c r="O3" s="10" t="s">
        <v>73</v>
      </c>
      <c r="P3" s="11">
        <f>COUNTIF(D4:D45,"AI / ML / Data Science")</f>
        <v>0</v>
      </c>
    </row>
    <row r="4" spans="1:16" ht="19.95" customHeight="1" x14ac:dyDescent="0.3">
      <c r="A4" s="12">
        <v>1</v>
      </c>
      <c r="B4" s="13" t="s">
        <v>121</v>
      </c>
      <c r="C4" s="12" t="s">
        <v>75</v>
      </c>
      <c r="D4" s="44" t="s">
        <v>59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5" t="s">
        <v>83</v>
      </c>
      <c r="L4" s="13" t="s">
        <v>84</v>
      </c>
      <c r="M4" s="13"/>
      <c r="O4" s="16" t="s">
        <v>85</v>
      </c>
      <c r="P4" s="17">
        <f>COUNTIF(D4:D45,"QA / Testing / Automation")</f>
        <v>0</v>
      </c>
    </row>
    <row r="5" spans="1:16" ht="19.95" customHeight="1" x14ac:dyDescent="0.3">
      <c r="A5" s="18">
        <v>2</v>
      </c>
      <c r="B5" s="19" t="s">
        <v>121</v>
      </c>
      <c r="C5" s="18" t="s">
        <v>123</v>
      </c>
      <c r="D5" s="44" t="s">
        <v>59</v>
      </c>
      <c r="E5" s="19" t="s">
        <v>124</v>
      </c>
      <c r="F5" s="19" t="s">
        <v>78</v>
      </c>
      <c r="G5" s="19" t="s">
        <v>79</v>
      </c>
      <c r="H5" s="19" t="s">
        <v>80</v>
      </c>
      <c r="I5" s="19" t="s">
        <v>81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COUNTIF(D4:D45,"DevOps / Cloud / Security")</f>
        <v>0</v>
      </c>
    </row>
    <row r="6" spans="1:16" ht="19.95" customHeight="1" x14ac:dyDescent="0.3">
      <c r="A6" s="12">
        <v>3</v>
      </c>
      <c r="B6" s="13" t="s">
        <v>126</v>
      </c>
      <c r="C6" s="12" t="s">
        <v>127</v>
      </c>
      <c r="D6" s="44" t="s">
        <v>59</v>
      </c>
      <c r="E6" s="13" t="s">
        <v>77</v>
      </c>
      <c r="F6" s="13" t="s">
        <v>78</v>
      </c>
      <c r="G6" s="13" t="s">
        <v>79</v>
      </c>
      <c r="H6" s="13" t="s">
        <v>80</v>
      </c>
      <c r="I6" s="13" t="s">
        <v>81</v>
      </c>
      <c r="J6" s="13" t="s">
        <v>82</v>
      </c>
      <c r="K6" s="15" t="s">
        <v>83</v>
      </c>
      <c r="L6" s="13" t="s">
        <v>84</v>
      </c>
      <c r="M6" s="13"/>
      <c r="O6" s="24" t="s">
        <v>91</v>
      </c>
      <c r="P6" s="25">
        <f>COUNTIF(D4:D45,"Web Development")</f>
        <v>0</v>
      </c>
    </row>
    <row r="7" spans="1:16" ht="19.95" customHeight="1" x14ac:dyDescent="0.3">
      <c r="A7" s="18">
        <v>4</v>
      </c>
      <c r="B7" s="19" t="s">
        <v>156</v>
      </c>
      <c r="C7" s="18" t="s">
        <v>157</v>
      </c>
      <c r="D7" s="44" t="s">
        <v>59</v>
      </c>
      <c r="E7" s="19" t="s">
        <v>77</v>
      </c>
      <c r="F7" s="19" t="s">
        <v>78</v>
      </c>
      <c r="G7" s="19" t="s">
        <v>79</v>
      </c>
      <c r="H7" s="19" t="s">
        <v>80</v>
      </c>
      <c r="I7" s="19" t="s">
        <v>136</v>
      </c>
      <c r="J7" s="19" t="s">
        <v>82</v>
      </c>
      <c r="K7" s="21" t="s">
        <v>83</v>
      </c>
      <c r="L7" s="19" t="s">
        <v>84</v>
      </c>
      <c r="M7" s="19"/>
      <c r="O7" s="26" t="s">
        <v>94</v>
      </c>
      <c r="P7" s="27">
        <f>COUNTIF(D4:D45,"Mobile Development")</f>
        <v>0</v>
      </c>
    </row>
    <row r="8" spans="1:16" ht="19.95" customHeight="1" x14ac:dyDescent="0.3">
      <c r="A8" s="12">
        <v>5</v>
      </c>
      <c r="B8" s="13" t="s">
        <v>194</v>
      </c>
      <c r="C8" s="12" t="s">
        <v>195</v>
      </c>
      <c r="D8" s="44" t="s">
        <v>59</v>
      </c>
      <c r="E8" s="13" t="s">
        <v>164</v>
      </c>
      <c r="F8" s="13" t="s">
        <v>165</v>
      </c>
      <c r="G8" s="13" t="s">
        <v>196</v>
      </c>
      <c r="H8" s="13" t="s">
        <v>80</v>
      </c>
      <c r="I8" s="13" t="s">
        <v>167</v>
      </c>
      <c r="J8" s="13" t="s">
        <v>82</v>
      </c>
      <c r="K8" s="15" t="s">
        <v>83</v>
      </c>
      <c r="L8" s="13" t="s">
        <v>168</v>
      </c>
      <c r="M8" s="13"/>
      <c r="O8" s="28" t="s">
        <v>76</v>
      </c>
      <c r="P8" s="29">
        <f>COUNTIF(D4:D45,"Data &amp; Analytics")</f>
        <v>0</v>
      </c>
    </row>
    <row r="9" spans="1:16" ht="19.95" customHeight="1" x14ac:dyDescent="0.3">
      <c r="A9" s="18">
        <v>6</v>
      </c>
      <c r="B9" s="19" t="s">
        <v>197</v>
      </c>
      <c r="C9" s="18" t="s">
        <v>198</v>
      </c>
      <c r="D9" s="44" t="s">
        <v>59</v>
      </c>
      <c r="E9" s="19" t="s">
        <v>164</v>
      </c>
      <c r="F9" s="19" t="s">
        <v>165</v>
      </c>
      <c r="G9" s="19" t="s">
        <v>196</v>
      </c>
      <c r="H9" s="19" t="s">
        <v>80</v>
      </c>
      <c r="I9" s="19" t="s">
        <v>167</v>
      </c>
      <c r="J9" s="19" t="s">
        <v>82</v>
      </c>
      <c r="K9" s="21" t="s">
        <v>83</v>
      </c>
      <c r="L9" s="19" t="s">
        <v>168</v>
      </c>
      <c r="M9" s="19"/>
      <c r="O9" s="30" t="s">
        <v>99</v>
      </c>
      <c r="P9" s="31">
        <f>COUNTIF(D4:D45,"BPO / Customer Service")</f>
        <v>0</v>
      </c>
    </row>
    <row r="10" spans="1:16" ht="19.95" customHeight="1" x14ac:dyDescent="0.3">
      <c r="A10" s="12">
        <v>7</v>
      </c>
      <c r="B10" s="13" t="s">
        <v>199</v>
      </c>
      <c r="C10" s="12" t="s">
        <v>200</v>
      </c>
      <c r="D10" s="44" t="s">
        <v>59</v>
      </c>
      <c r="E10" s="13" t="s">
        <v>164</v>
      </c>
      <c r="F10" s="13" t="s">
        <v>165</v>
      </c>
      <c r="G10" s="13" t="s">
        <v>196</v>
      </c>
      <c r="H10" s="13" t="s">
        <v>80</v>
      </c>
      <c r="I10" s="13" t="s">
        <v>167</v>
      </c>
      <c r="J10" s="13" t="s">
        <v>82</v>
      </c>
      <c r="K10" s="15" t="s">
        <v>83</v>
      </c>
      <c r="L10" s="13" t="s">
        <v>168</v>
      </c>
      <c r="M10" s="13"/>
      <c r="O10" s="32" t="s">
        <v>104</v>
      </c>
      <c r="P10" s="33">
        <f>COUNTIF(D4:D45,"Sales &amp; Business Dev")</f>
        <v>0</v>
      </c>
    </row>
    <row r="11" spans="1:16" ht="19.95" customHeight="1" x14ac:dyDescent="0.3">
      <c r="A11" s="18">
        <v>8</v>
      </c>
      <c r="B11" s="19" t="s">
        <v>201</v>
      </c>
      <c r="C11" s="18" t="s">
        <v>202</v>
      </c>
      <c r="D11" s="44" t="s">
        <v>59</v>
      </c>
      <c r="E11" s="19" t="s">
        <v>164</v>
      </c>
      <c r="F11" s="19" t="s">
        <v>165</v>
      </c>
      <c r="G11" s="19" t="s">
        <v>196</v>
      </c>
      <c r="H11" s="19" t="s">
        <v>80</v>
      </c>
      <c r="I11" s="19" t="s">
        <v>167</v>
      </c>
      <c r="J11" s="19" t="s">
        <v>82</v>
      </c>
      <c r="K11" s="21" t="s">
        <v>83</v>
      </c>
      <c r="L11" s="19" t="s">
        <v>168</v>
      </c>
      <c r="M11" s="19"/>
      <c r="O11" s="35" t="s">
        <v>107</v>
      </c>
      <c r="P11" s="36">
        <f>COUNTIF(D4:D45,"Marketing &amp; Content")</f>
        <v>0</v>
      </c>
    </row>
    <row r="12" spans="1:16" ht="19.95" customHeight="1" x14ac:dyDescent="0.3">
      <c r="A12" s="12">
        <v>9</v>
      </c>
      <c r="B12" s="13" t="s">
        <v>203</v>
      </c>
      <c r="C12" s="12" t="s">
        <v>204</v>
      </c>
      <c r="D12" s="44" t="s">
        <v>59</v>
      </c>
      <c r="E12" s="13" t="s">
        <v>164</v>
      </c>
      <c r="F12" s="13" t="s">
        <v>165</v>
      </c>
      <c r="G12" s="13" t="s">
        <v>196</v>
      </c>
      <c r="H12" s="13" t="s">
        <v>80</v>
      </c>
      <c r="I12" s="13" t="s">
        <v>167</v>
      </c>
      <c r="J12" s="13" t="s">
        <v>82</v>
      </c>
      <c r="K12" s="15" t="s">
        <v>83</v>
      </c>
      <c r="L12" s="13" t="s">
        <v>168</v>
      </c>
      <c r="M12" s="13"/>
      <c r="O12" s="37" t="s">
        <v>112</v>
      </c>
      <c r="P12" s="38">
        <f>COUNTIF(D4:D45,"HR &amp; Recruitment")</f>
        <v>0</v>
      </c>
    </row>
    <row r="13" spans="1:16" ht="19.95" customHeight="1" x14ac:dyDescent="0.3">
      <c r="A13" s="18">
        <v>10</v>
      </c>
      <c r="B13" s="19" t="s">
        <v>205</v>
      </c>
      <c r="C13" s="18" t="s">
        <v>206</v>
      </c>
      <c r="D13" s="44" t="s">
        <v>59</v>
      </c>
      <c r="E13" s="19" t="s">
        <v>164</v>
      </c>
      <c r="F13" s="19" t="s">
        <v>165</v>
      </c>
      <c r="G13" s="19" t="s">
        <v>196</v>
      </c>
      <c r="H13" s="19" t="s">
        <v>80</v>
      </c>
      <c r="I13" s="19" t="s">
        <v>167</v>
      </c>
      <c r="J13" s="19" t="s">
        <v>82</v>
      </c>
      <c r="K13" s="21" t="s">
        <v>83</v>
      </c>
      <c r="L13" s="19" t="s">
        <v>168</v>
      </c>
      <c r="M13" s="19"/>
      <c r="O13" s="40" t="s">
        <v>117</v>
      </c>
      <c r="P13" s="41">
        <f>COUNTIF(D4:D45,"Finance &amp; Accounts")</f>
        <v>0</v>
      </c>
    </row>
    <row r="14" spans="1:16" ht="19.95" customHeight="1" x14ac:dyDescent="0.3">
      <c r="A14" s="12">
        <v>11</v>
      </c>
      <c r="B14" s="13" t="s">
        <v>207</v>
      </c>
      <c r="C14" s="12" t="s">
        <v>208</v>
      </c>
      <c r="D14" s="44" t="s">
        <v>59</v>
      </c>
      <c r="E14" s="13" t="s">
        <v>164</v>
      </c>
      <c r="F14" s="13" t="s">
        <v>165</v>
      </c>
      <c r="G14" s="13" t="s">
        <v>196</v>
      </c>
      <c r="H14" s="13" t="s">
        <v>80</v>
      </c>
      <c r="I14" s="13" t="s">
        <v>167</v>
      </c>
      <c r="J14" s="13" t="s">
        <v>82</v>
      </c>
      <c r="K14" s="15" t="s">
        <v>83</v>
      </c>
      <c r="L14" s="13" t="s">
        <v>168</v>
      </c>
      <c r="M14" s="13"/>
      <c r="O14" s="42" t="s">
        <v>120</v>
      </c>
      <c r="P14" s="43">
        <f>COUNTIF(D4:D45,"Operations &amp; Logistics")</f>
        <v>0</v>
      </c>
    </row>
    <row r="15" spans="1:16" ht="19.95" customHeight="1" x14ac:dyDescent="0.3">
      <c r="A15" s="18">
        <v>12</v>
      </c>
      <c r="B15" s="19" t="s">
        <v>209</v>
      </c>
      <c r="C15" s="18" t="s">
        <v>210</v>
      </c>
      <c r="D15" s="44" t="s">
        <v>59</v>
      </c>
      <c r="E15" s="19" t="s">
        <v>164</v>
      </c>
      <c r="F15" s="19" t="s">
        <v>165</v>
      </c>
      <c r="G15" s="19" t="s">
        <v>196</v>
      </c>
      <c r="H15" s="19" t="s">
        <v>80</v>
      </c>
      <c r="I15" s="19" t="s">
        <v>167</v>
      </c>
      <c r="J15" s="19" t="s">
        <v>82</v>
      </c>
      <c r="K15" s="21" t="s">
        <v>83</v>
      </c>
      <c r="L15" s="19" t="s">
        <v>168</v>
      </c>
      <c r="M15" s="19"/>
      <c r="O15" s="45" t="s">
        <v>122</v>
      </c>
      <c r="P15" s="46">
        <f>COUNTIF(D4:D45,"Management Trainee / Admin")</f>
        <v>0</v>
      </c>
    </row>
    <row r="16" spans="1:16" ht="19.95" customHeight="1" x14ac:dyDescent="0.3">
      <c r="A16" s="12">
        <v>13</v>
      </c>
      <c r="B16" s="13" t="s">
        <v>211</v>
      </c>
      <c r="C16" s="12" t="s">
        <v>212</v>
      </c>
      <c r="D16" s="44" t="s">
        <v>59</v>
      </c>
      <c r="E16" s="13" t="s">
        <v>164</v>
      </c>
      <c r="F16" s="13" t="s">
        <v>165</v>
      </c>
      <c r="G16" s="13" t="s">
        <v>196</v>
      </c>
      <c r="H16" s="13" t="s">
        <v>80</v>
      </c>
      <c r="I16" s="13" t="s">
        <v>167</v>
      </c>
      <c r="J16" s="13" t="s">
        <v>82</v>
      </c>
      <c r="K16" s="15" t="s">
        <v>83</v>
      </c>
      <c r="L16" s="13" t="s">
        <v>168</v>
      </c>
      <c r="M16" s="13"/>
      <c r="O16" s="47" t="s">
        <v>125</v>
      </c>
      <c r="P16" s="48">
        <f>COUNTIF(D4:D45,"Cybersecurity")</f>
        <v>0</v>
      </c>
    </row>
    <row r="17" spans="1:16" ht="19.95" customHeight="1" x14ac:dyDescent="0.3">
      <c r="A17" s="18">
        <v>14</v>
      </c>
      <c r="B17" s="19" t="s">
        <v>213</v>
      </c>
      <c r="C17" s="18" t="s">
        <v>214</v>
      </c>
      <c r="D17" s="44" t="s">
        <v>59</v>
      </c>
      <c r="E17" s="19" t="s">
        <v>164</v>
      </c>
      <c r="F17" s="19" t="s">
        <v>165</v>
      </c>
      <c r="G17" s="19" t="s">
        <v>196</v>
      </c>
      <c r="H17" s="19" t="s">
        <v>80</v>
      </c>
      <c r="I17" s="19" t="s">
        <v>167</v>
      </c>
      <c r="J17" s="19" t="s">
        <v>82</v>
      </c>
      <c r="K17" s="21" t="s">
        <v>83</v>
      </c>
      <c r="L17" s="19" t="s">
        <v>168</v>
      </c>
      <c r="M17" s="19"/>
      <c r="O17" s="49" t="s">
        <v>88</v>
      </c>
      <c r="P17" s="50">
        <f>COUNTIF(D4:D45,"General / Others")</f>
        <v>0</v>
      </c>
    </row>
    <row r="18" spans="1:16" ht="19.95" customHeight="1" x14ac:dyDescent="0.3">
      <c r="A18" s="12">
        <v>15</v>
      </c>
      <c r="B18" s="13" t="s">
        <v>215</v>
      </c>
      <c r="C18" s="12" t="s">
        <v>216</v>
      </c>
      <c r="D18" s="44" t="s">
        <v>59</v>
      </c>
      <c r="E18" s="13" t="s">
        <v>164</v>
      </c>
      <c r="F18" s="13" t="s">
        <v>165</v>
      </c>
      <c r="G18" s="13" t="s">
        <v>196</v>
      </c>
      <c r="H18" s="13" t="s">
        <v>80</v>
      </c>
      <c r="I18" s="13" t="s">
        <v>167</v>
      </c>
      <c r="J18" s="13" t="s">
        <v>82</v>
      </c>
      <c r="K18" s="15" t="s">
        <v>83</v>
      </c>
      <c r="L18" s="13" t="s">
        <v>168</v>
      </c>
      <c r="M18" s="13"/>
    </row>
    <row r="19" spans="1:16" ht="19.95" customHeight="1" x14ac:dyDescent="0.3">
      <c r="A19" s="18">
        <v>16</v>
      </c>
      <c r="B19" s="19" t="s">
        <v>217</v>
      </c>
      <c r="C19" s="18" t="s">
        <v>218</v>
      </c>
      <c r="D19" s="44" t="s">
        <v>59</v>
      </c>
      <c r="E19" s="19" t="s">
        <v>164</v>
      </c>
      <c r="F19" s="19" t="s">
        <v>165</v>
      </c>
      <c r="G19" s="19" t="s">
        <v>196</v>
      </c>
      <c r="H19" s="19" t="s">
        <v>80</v>
      </c>
      <c r="I19" s="19" t="s">
        <v>167</v>
      </c>
      <c r="J19" s="19" t="s">
        <v>82</v>
      </c>
      <c r="K19" s="21" t="s">
        <v>83</v>
      </c>
      <c r="L19" s="19" t="s">
        <v>168</v>
      </c>
      <c r="M19" s="19"/>
    </row>
    <row r="20" spans="1:16" ht="19.95" customHeight="1" x14ac:dyDescent="0.3">
      <c r="A20" s="12">
        <v>17</v>
      </c>
      <c r="B20" s="13" t="s">
        <v>219</v>
      </c>
      <c r="C20" s="12" t="s">
        <v>220</v>
      </c>
      <c r="D20" s="44" t="s">
        <v>59</v>
      </c>
      <c r="E20" s="13" t="s">
        <v>164</v>
      </c>
      <c r="F20" s="13" t="s">
        <v>165</v>
      </c>
      <c r="G20" s="13" t="s">
        <v>196</v>
      </c>
      <c r="H20" s="13" t="s">
        <v>80</v>
      </c>
      <c r="I20" s="13" t="s">
        <v>167</v>
      </c>
      <c r="J20" s="13" t="s">
        <v>82</v>
      </c>
      <c r="K20" s="15" t="s">
        <v>83</v>
      </c>
      <c r="L20" s="13" t="s">
        <v>168</v>
      </c>
      <c r="M20" s="13"/>
    </row>
    <row r="21" spans="1:16" ht="19.95" customHeight="1" x14ac:dyDescent="0.3">
      <c r="A21" s="18">
        <v>18</v>
      </c>
      <c r="B21" s="19" t="s">
        <v>221</v>
      </c>
      <c r="C21" s="18" t="s">
        <v>222</v>
      </c>
      <c r="D21" s="44" t="s">
        <v>59</v>
      </c>
      <c r="E21" s="19" t="s">
        <v>164</v>
      </c>
      <c r="F21" s="19" t="s">
        <v>165</v>
      </c>
      <c r="G21" s="19" t="s">
        <v>196</v>
      </c>
      <c r="H21" s="19" t="s">
        <v>80</v>
      </c>
      <c r="I21" s="19" t="s">
        <v>167</v>
      </c>
      <c r="J21" s="19" t="s">
        <v>82</v>
      </c>
      <c r="K21" s="21" t="s">
        <v>83</v>
      </c>
      <c r="L21" s="19" t="s">
        <v>168</v>
      </c>
      <c r="M21" s="19"/>
    </row>
    <row r="22" spans="1:16" ht="19.95" customHeight="1" x14ac:dyDescent="0.3">
      <c r="A22" s="12">
        <v>19</v>
      </c>
      <c r="B22" s="13" t="s">
        <v>223</v>
      </c>
      <c r="C22" s="12" t="s">
        <v>224</v>
      </c>
      <c r="D22" s="44" t="s">
        <v>59</v>
      </c>
      <c r="E22" s="13" t="s">
        <v>164</v>
      </c>
      <c r="F22" s="13" t="s">
        <v>165</v>
      </c>
      <c r="G22" s="13" t="s">
        <v>196</v>
      </c>
      <c r="H22" s="13" t="s">
        <v>80</v>
      </c>
      <c r="I22" s="13" t="s">
        <v>167</v>
      </c>
      <c r="J22" s="13" t="s">
        <v>82</v>
      </c>
      <c r="K22" s="15" t="s">
        <v>83</v>
      </c>
      <c r="L22" s="13" t="s">
        <v>168</v>
      </c>
      <c r="M22" s="13"/>
    </row>
    <row r="23" spans="1:16" ht="19.95" customHeight="1" x14ac:dyDescent="0.3">
      <c r="A23" s="18">
        <v>20</v>
      </c>
      <c r="B23" s="19" t="s">
        <v>225</v>
      </c>
      <c r="C23" s="18" t="s">
        <v>226</v>
      </c>
      <c r="D23" s="44" t="s">
        <v>59</v>
      </c>
      <c r="E23" s="19" t="s">
        <v>164</v>
      </c>
      <c r="F23" s="19" t="s">
        <v>165</v>
      </c>
      <c r="G23" s="19" t="s">
        <v>196</v>
      </c>
      <c r="H23" s="19" t="s">
        <v>80</v>
      </c>
      <c r="I23" s="19" t="s">
        <v>167</v>
      </c>
      <c r="J23" s="19" t="s">
        <v>82</v>
      </c>
      <c r="K23" s="21" t="s">
        <v>83</v>
      </c>
      <c r="L23" s="19" t="s">
        <v>168</v>
      </c>
      <c r="M23" s="19"/>
    </row>
    <row r="24" spans="1:16" ht="19.95" customHeight="1" x14ac:dyDescent="0.3">
      <c r="A24" s="12">
        <v>21</v>
      </c>
      <c r="B24" s="13" t="s">
        <v>227</v>
      </c>
      <c r="C24" s="12" t="s">
        <v>228</v>
      </c>
      <c r="D24" s="44" t="s">
        <v>59</v>
      </c>
      <c r="E24" s="13" t="s">
        <v>164</v>
      </c>
      <c r="F24" s="13" t="s">
        <v>165</v>
      </c>
      <c r="G24" s="13" t="s">
        <v>196</v>
      </c>
      <c r="H24" s="13" t="s">
        <v>80</v>
      </c>
      <c r="I24" s="13" t="s">
        <v>167</v>
      </c>
      <c r="J24" s="13" t="s">
        <v>82</v>
      </c>
      <c r="K24" s="15" t="s">
        <v>83</v>
      </c>
      <c r="L24" s="13" t="s">
        <v>168</v>
      </c>
      <c r="M24" s="13"/>
    </row>
    <row r="25" spans="1:16" ht="19.95" customHeight="1" x14ac:dyDescent="0.3">
      <c r="A25" s="18">
        <v>22</v>
      </c>
      <c r="B25" s="19" t="s">
        <v>229</v>
      </c>
      <c r="C25" s="18" t="s">
        <v>230</v>
      </c>
      <c r="D25" s="44" t="s">
        <v>59</v>
      </c>
      <c r="E25" s="19" t="s">
        <v>164</v>
      </c>
      <c r="F25" s="19" t="s">
        <v>165</v>
      </c>
      <c r="G25" s="19" t="s">
        <v>196</v>
      </c>
      <c r="H25" s="19" t="s">
        <v>80</v>
      </c>
      <c r="I25" s="19" t="s">
        <v>167</v>
      </c>
      <c r="J25" s="19" t="s">
        <v>82</v>
      </c>
      <c r="K25" s="21" t="s">
        <v>83</v>
      </c>
      <c r="L25" s="19" t="s">
        <v>168</v>
      </c>
      <c r="M25" s="19"/>
    </row>
    <row r="26" spans="1:16" ht="19.95" customHeight="1" x14ac:dyDescent="0.3">
      <c r="A26" s="12">
        <v>23</v>
      </c>
      <c r="B26" s="13" t="s">
        <v>231</v>
      </c>
      <c r="C26" s="12" t="s">
        <v>232</v>
      </c>
      <c r="D26" s="44" t="s">
        <v>59</v>
      </c>
      <c r="E26" s="13" t="s">
        <v>164</v>
      </c>
      <c r="F26" s="13" t="s">
        <v>165</v>
      </c>
      <c r="G26" s="13" t="s">
        <v>196</v>
      </c>
      <c r="H26" s="13" t="s">
        <v>80</v>
      </c>
      <c r="I26" s="13" t="s">
        <v>167</v>
      </c>
      <c r="J26" s="13" t="s">
        <v>82</v>
      </c>
      <c r="K26" s="15" t="s">
        <v>83</v>
      </c>
      <c r="L26" s="13" t="s">
        <v>168</v>
      </c>
      <c r="M26" s="13"/>
    </row>
    <row r="27" spans="1:16" ht="19.95" customHeight="1" x14ac:dyDescent="0.3">
      <c r="A27" s="18">
        <v>24</v>
      </c>
      <c r="B27" s="19" t="s">
        <v>233</v>
      </c>
      <c r="C27" s="18" t="s">
        <v>234</v>
      </c>
      <c r="D27" s="44" t="s">
        <v>59</v>
      </c>
      <c r="E27" s="19" t="s">
        <v>164</v>
      </c>
      <c r="F27" s="19" t="s">
        <v>165</v>
      </c>
      <c r="G27" s="19" t="s">
        <v>196</v>
      </c>
      <c r="H27" s="19" t="s">
        <v>80</v>
      </c>
      <c r="I27" s="19" t="s">
        <v>167</v>
      </c>
      <c r="J27" s="19" t="s">
        <v>82</v>
      </c>
      <c r="K27" s="21" t="s">
        <v>83</v>
      </c>
      <c r="L27" s="19" t="s">
        <v>168</v>
      </c>
      <c r="M27" s="19"/>
    </row>
    <row r="28" spans="1:16" ht="19.95" customHeight="1" x14ac:dyDescent="0.3">
      <c r="A28" s="12">
        <v>25</v>
      </c>
      <c r="B28" s="13" t="s">
        <v>235</v>
      </c>
      <c r="C28" s="12" t="s">
        <v>236</v>
      </c>
      <c r="D28" s="44" t="s">
        <v>59</v>
      </c>
      <c r="E28" s="13" t="s">
        <v>164</v>
      </c>
      <c r="F28" s="13" t="s">
        <v>165</v>
      </c>
      <c r="G28" s="13" t="s">
        <v>196</v>
      </c>
      <c r="H28" s="13" t="s">
        <v>80</v>
      </c>
      <c r="I28" s="13" t="s">
        <v>167</v>
      </c>
      <c r="J28" s="13" t="s">
        <v>82</v>
      </c>
      <c r="K28" s="15" t="s">
        <v>83</v>
      </c>
      <c r="L28" s="13" t="s">
        <v>168</v>
      </c>
      <c r="M28" s="13"/>
    </row>
    <row r="29" spans="1:16" ht="19.95" customHeight="1" x14ac:dyDescent="0.3">
      <c r="A29" s="18">
        <v>26</v>
      </c>
      <c r="B29" s="19" t="s">
        <v>237</v>
      </c>
      <c r="C29" s="18" t="s">
        <v>238</v>
      </c>
      <c r="D29" s="44" t="s">
        <v>59</v>
      </c>
      <c r="E29" s="19" t="s">
        <v>164</v>
      </c>
      <c r="F29" s="19" t="s">
        <v>165</v>
      </c>
      <c r="G29" s="19" t="s">
        <v>196</v>
      </c>
      <c r="H29" s="19" t="s">
        <v>80</v>
      </c>
      <c r="I29" s="19" t="s">
        <v>167</v>
      </c>
      <c r="J29" s="19" t="s">
        <v>82</v>
      </c>
      <c r="K29" s="21" t="s">
        <v>83</v>
      </c>
      <c r="L29" s="19" t="s">
        <v>168</v>
      </c>
      <c r="M29" s="19"/>
    </row>
    <row r="30" spans="1:16" ht="19.95" customHeight="1" x14ac:dyDescent="0.3">
      <c r="A30" s="12">
        <v>27</v>
      </c>
      <c r="B30" s="13" t="s">
        <v>239</v>
      </c>
      <c r="C30" s="12" t="s">
        <v>240</v>
      </c>
      <c r="D30" s="44" t="s">
        <v>59</v>
      </c>
      <c r="E30" s="13" t="s">
        <v>164</v>
      </c>
      <c r="F30" s="13" t="s">
        <v>165</v>
      </c>
      <c r="G30" s="13" t="s">
        <v>196</v>
      </c>
      <c r="H30" s="13" t="s">
        <v>80</v>
      </c>
      <c r="I30" s="13" t="s">
        <v>167</v>
      </c>
      <c r="J30" s="13" t="s">
        <v>82</v>
      </c>
      <c r="K30" s="15" t="s">
        <v>83</v>
      </c>
      <c r="L30" s="13" t="s">
        <v>168</v>
      </c>
      <c r="M30" s="13"/>
    </row>
    <row r="31" spans="1:16" ht="19.95" customHeight="1" x14ac:dyDescent="0.3">
      <c r="A31" s="18">
        <v>28</v>
      </c>
      <c r="B31" s="19" t="s">
        <v>241</v>
      </c>
      <c r="C31" s="18" t="s">
        <v>242</v>
      </c>
      <c r="D31" s="44" t="s">
        <v>59</v>
      </c>
      <c r="E31" s="19" t="s">
        <v>164</v>
      </c>
      <c r="F31" s="19" t="s">
        <v>165</v>
      </c>
      <c r="G31" s="19" t="s">
        <v>196</v>
      </c>
      <c r="H31" s="19" t="s">
        <v>80</v>
      </c>
      <c r="I31" s="19" t="s">
        <v>167</v>
      </c>
      <c r="J31" s="19" t="s">
        <v>82</v>
      </c>
      <c r="K31" s="21" t="s">
        <v>83</v>
      </c>
      <c r="L31" s="19" t="s">
        <v>168</v>
      </c>
      <c r="M31" s="19"/>
    </row>
    <row r="32" spans="1:16" ht="19.95" customHeight="1" x14ac:dyDescent="0.3">
      <c r="A32" s="12">
        <v>29</v>
      </c>
      <c r="B32" s="13" t="s">
        <v>243</v>
      </c>
      <c r="C32" s="12" t="s">
        <v>244</v>
      </c>
      <c r="D32" s="44" t="s">
        <v>59</v>
      </c>
      <c r="E32" s="13" t="s">
        <v>164</v>
      </c>
      <c r="F32" s="13" t="s">
        <v>165</v>
      </c>
      <c r="G32" s="13" t="s">
        <v>196</v>
      </c>
      <c r="H32" s="13" t="s">
        <v>80</v>
      </c>
      <c r="I32" s="13" t="s">
        <v>167</v>
      </c>
      <c r="J32" s="13" t="s">
        <v>82</v>
      </c>
      <c r="K32" s="15" t="s">
        <v>83</v>
      </c>
      <c r="L32" s="13" t="s">
        <v>168</v>
      </c>
      <c r="M32" s="13"/>
    </row>
    <row r="33" spans="1:13" ht="19.95" customHeight="1" x14ac:dyDescent="0.3">
      <c r="A33" s="18">
        <v>30</v>
      </c>
      <c r="B33" s="19" t="s">
        <v>245</v>
      </c>
      <c r="C33" s="18" t="s">
        <v>246</v>
      </c>
      <c r="D33" s="44" t="s">
        <v>59</v>
      </c>
      <c r="E33" s="19" t="s">
        <v>164</v>
      </c>
      <c r="F33" s="19" t="s">
        <v>165</v>
      </c>
      <c r="G33" s="19" t="s">
        <v>196</v>
      </c>
      <c r="H33" s="19" t="s">
        <v>80</v>
      </c>
      <c r="I33" s="19" t="s">
        <v>167</v>
      </c>
      <c r="J33" s="19" t="s">
        <v>82</v>
      </c>
      <c r="K33" s="21" t="s">
        <v>83</v>
      </c>
      <c r="L33" s="19" t="s">
        <v>168</v>
      </c>
      <c r="M33" s="19"/>
    </row>
    <row r="34" spans="1:13" ht="19.95" customHeight="1" x14ac:dyDescent="0.3">
      <c r="A34" s="12">
        <v>31</v>
      </c>
      <c r="B34" s="13" t="s">
        <v>247</v>
      </c>
      <c r="C34" s="12" t="s">
        <v>248</v>
      </c>
      <c r="D34" s="44" t="s">
        <v>59</v>
      </c>
      <c r="E34" s="13" t="s">
        <v>164</v>
      </c>
      <c r="F34" s="13" t="s">
        <v>165</v>
      </c>
      <c r="G34" s="13" t="s">
        <v>196</v>
      </c>
      <c r="H34" s="13" t="s">
        <v>80</v>
      </c>
      <c r="I34" s="13" t="s">
        <v>167</v>
      </c>
      <c r="J34" s="13" t="s">
        <v>82</v>
      </c>
      <c r="K34" s="15" t="s">
        <v>83</v>
      </c>
      <c r="L34" s="13" t="s">
        <v>168</v>
      </c>
      <c r="M34" s="13"/>
    </row>
    <row r="35" spans="1:13" ht="19.95" customHeight="1" x14ac:dyDescent="0.3">
      <c r="A35" s="18">
        <v>32</v>
      </c>
      <c r="B35" s="19" t="s">
        <v>249</v>
      </c>
      <c r="C35" s="18" t="s">
        <v>250</v>
      </c>
      <c r="D35" s="44" t="s">
        <v>59</v>
      </c>
      <c r="E35" s="19" t="s">
        <v>164</v>
      </c>
      <c r="F35" s="19" t="s">
        <v>165</v>
      </c>
      <c r="G35" s="19" t="s">
        <v>196</v>
      </c>
      <c r="H35" s="19" t="s">
        <v>80</v>
      </c>
      <c r="I35" s="19" t="s">
        <v>167</v>
      </c>
      <c r="J35" s="19" t="s">
        <v>82</v>
      </c>
      <c r="K35" s="21" t="s">
        <v>83</v>
      </c>
      <c r="L35" s="19" t="s">
        <v>168</v>
      </c>
      <c r="M35" s="19"/>
    </row>
    <row r="36" spans="1:13" ht="19.95" customHeight="1" x14ac:dyDescent="0.3">
      <c r="A36" s="12">
        <v>33</v>
      </c>
      <c r="B36" s="13" t="s">
        <v>251</v>
      </c>
      <c r="C36" s="12" t="s">
        <v>252</v>
      </c>
      <c r="D36" s="44" t="s">
        <v>59</v>
      </c>
      <c r="E36" s="13" t="s">
        <v>164</v>
      </c>
      <c r="F36" s="13" t="s">
        <v>165</v>
      </c>
      <c r="G36" s="13" t="s">
        <v>196</v>
      </c>
      <c r="H36" s="13" t="s">
        <v>80</v>
      </c>
      <c r="I36" s="13" t="s">
        <v>167</v>
      </c>
      <c r="J36" s="13" t="s">
        <v>82</v>
      </c>
      <c r="K36" s="15" t="s">
        <v>83</v>
      </c>
      <c r="L36" s="13" t="s">
        <v>168</v>
      </c>
      <c r="M36" s="13"/>
    </row>
    <row r="37" spans="1:13" ht="19.95" customHeight="1" x14ac:dyDescent="0.3">
      <c r="A37" s="18">
        <v>34</v>
      </c>
      <c r="B37" s="19" t="s">
        <v>253</v>
      </c>
      <c r="C37" s="18" t="s">
        <v>254</v>
      </c>
      <c r="D37" s="44" t="s">
        <v>59</v>
      </c>
      <c r="E37" s="19" t="s">
        <v>164</v>
      </c>
      <c r="F37" s="19" t="s">
        <v>165</v>
      </c>
      <c r="G37" s="19" t="s">
        <v>196</v>
      </c>
      <c r="H37" s="19" t="s">
        <v>80</v>
      </c>
      <c r="I37" s="19" t="s">
        <v>167</v>
      </c>
      <c r="J37" s="19" t="s">
        <v>82</v>
      </c>
      <c r="K37" s="21" t="s">
        <v>83</v>
      </c>
      <c r="L37" s="19" t="s">
        <v>168</v>
      </c>
      <c r="M37" s="19"/>
    </row>
    <row r="38" spans="1:13" ht="19.95" customHeight="1" x14ac:dyDescent="0.3">
      <c r="A38" s="12">
        <v>35</v>
      </c>
      <c r="B38" s="13" t="s">
        <v>255</v>
      </c>
      <c r="C38" s="12" t="s">
        <v>256</v>
      </c>
      <c r="D38" s="44" t="s">
        <v>59</v>
      </c>
      <c r="E38" s="13" t="s">
        <v>164</v>
      </c>
      <c r="F38" s="13" t="s">
        <v>165</v>
      </c>
      <c r="G38" s="13" t="s">
        <v>196</v>
      </c>
      <c r="H38" s="13" t="s">
        <v>80</v>
      </c>
      <c r="I38" s="13" t="s">
        <v>167</v>
      </c>
      <c r="J38" s="13" t="s">
        <v>82</v>
      </c>
      <c r="K38" s="15" t="s">
        <v>83</v>
      </c>
      <c r="L38" s="13" t="s">
        <v>168</v>
      </c>
      <c r="M38" s="13"/>
    </row>
    <row r="39" spans="1:13" ht="19.95" customHeight="1" x14ac:dyDescent="0.3">
      <c r="A39" s="18">
        <v>36</v>
      </c>
      <c r="B39" s="19" t="s">
        <v>257</v>
      </c>
      <c r="C39" s="18" t="s">
        <v>258</v>
      </c>
      <c r="D39" s="44" t="s">
        <v>59</v>
      </c>
      <c r="E39" s="19" t="s">
        <v>164</v>
      </c>
      <c r="F39" s="19" t="s">
        <v>165</v>
      </c>
      <c r="G39" s="19" t="s">
        <v>196</v>
      </c>
      <c r="H39" s="19" t="s">
        <v>80</v>
      </c>
      <c r="I39" s="19" t="s">
        <v>167</v>
      </c>
      <c r="J39" s="19" t="s">
        <v>82</v>
      </c>
      <c r="K39" s="21" t="s">
        <v>83</v>
      </c>
      <c r="L39" s="19" t="s">
        <v>168</v>
      </c>
      <c r="M39" s="19"/>
    </row>
    <row r="40" spans="1:13" ht="19.95" customHeight="1" x14ac:dyDescent="0.3">
      <c r="A40" s="12">
        <v>37</v>
      </c>
      <c r="B40" s="13" t="s">
        <v>259</v>
      </c>
      <c r="C40" s="12" t="s">
        <v>260</v>
      </c>
      <c r="D40" s="44" t="s">
        <v>59</v>
      </c>
      <c r="E40" s="13" t="s">
        <v>164</v>
      </c>
      <c r="F40" s="13" t="s">
        <v>165</v>
      </c>
      <c r="G40" s="13" t="s">
        <v>196</v>
      </c>
      <c r="H40" s="13" t="s">
        <v>80</v>
      </c>
      <c r="I40" s="13" t="s">
        <v>167</v>
      </c>
      <c r="J40" s="13" t="s">
        <v>82</v>
      </c>
      <c r="K40" s="15" t="s">
        <v>83</v>
      </c>
      <c r="L40" s="13" t="s">
        <v>168</v>
      </c>
      <c r="M40" s="13"/>
    </row>
    <row r="41" spans="1:13" ht="19.95" customHeight="1" x14ac:dyDescent="0.3">
      <c r="A41" s="18">
        <v>38</v>
      </c>
      <c r="B41" s="19" t="s">
        <v>261</v>
      </c>
      <c r="C41" s="18" t="s">
        <v>262</v>
      </c>
      <c r="D41" s="44" t="s">
        <v>59</v>
      </c>
      <c r="E41" s="19" t="s">
        <v>164</v>
      </c>
      <c r="F41" s="19" t="s">
        <v>165</v>
      </c>
      <c r="G41" s="19" t="s">
        <v>196</v>
      </c>
      <c r="H41" s="19" t="s">
        <v>80</v>
      </c>
      <c r="I41" s="19" t="s">
        <v>167</v>
      </c>
      <c r="J41" s="19" t="s">
        <v>82</v>
      </c>
      <c r="K41" s="21" t="s">
        <v>83</v>
      </c>
      <c r="L41" s="19" t="s">
        <v>168</v>
      </c>
      <c r="M41" s="19"/>
    </row>
    <row r="42" spans="1:13" ht="19.95" customHeight="1" x14ac:dyDescent="0.3">
      <c r="A42" s="12">
        <v>39</v>
      </c>
      <c r="B42" s="13" t="s">
        <v>263</v>
      </c>
      <c r="C42" s="12" t="s">
        <v>264</v>
      </c>
      <c r="D42" s="44" t="s">
        <v>59</v>
      </c>
      <c r="E42" s="13" t="s">
        <v>164</v>
      </c>
      <c r="F42" s="13" t="s">
        <v>165</v>
      </c>
      <c r="G42" s="13" t="s">
        <v>196</v>
      </c>
      <c r="H42" s="13" t="s">
        <v>80</v>
      </c>
      <c r="I42" s="13" t="s">
        <v>167</v>
      </c>
      <c r="J42" s="13" t="s">
        <v>82</v>
      </c>
      <c r="K42" s="15" t="s">
        <v>83</v>
      </c>
      <c r="L42" s="13" t="s">
        <v>168</v>
      </c>
      <c r="M42" s="13"/>
    </row>
    <row r="43" spans="1:13" ht="19.95" customHeight="1" x14ac:dyDescent="0.3">
      <c r="A43" s="18">
        <v>40</v>
      </c>
      <c r="B43" s="19" t="s">
        <v>265</v>
      </c>
      <c r="C43" s="18" t="s">
        <v>266</v>
      </c>
      <c r="D43" s="44" t="s">
        <v>59</v>
      </c>
      <c r="E43" s="19" t="s">
        <v>164</v>
      </c>
      <c r="F43" s="19" t="s">
        <v>165</v>
      </c>
      <c r="G43" s="19" t="s">
        <v>196</v>
      </c>
      <c r="H43" s="19" t="s">
        <v>80</v>
      </c>
      <c r="I43" s="19" t="s">
        <v>167</v>
      </c>
      <c r="J43" s="19" t="s">
        <v>82</v>
      </c>
      <c r="K43" s="21" t="s">
        <v>83</v>
      </c>
      <c r="L43" s="19" t="s">
        <v>168</v>
      </c>
      <c r="M43" s="19"/>
    </row>
    <row r="44" spans="1:13" ht="19.95" customHeight="1" x14ac:dyDescent="0.3">
      <c r="A44" s="12">
        <v>41</v>
      </c>
      <c r="B44" s="13" t="s">
        <v>267</v>
      </c>
      <c r="C44" s="12" t="s">
        <v>268</v>
      </c>
      <c r="D44" s="44" t="s">
        <v>59</v>
      </c>
      <c r="E44" s="13" t="s">
        <v>164</v>
      </c>
      <c r="F44" s="13" t="s">
        <v>165</v>
      </c>
      <c r="G44" s="13" t="s">
        <v>196</v>
      </c>
      <c r="H44" s="13" t="s">
        <v>80</v>
      </c>
      <c r="I44" s="13" t="s">
        <v>167</v>
      </c>
      <c r="J44" s="13" t="s">
        <v>82</v>
      </c>
      <c r="K44" s="15" t="s">
        <v>83</v>
      </c>
      <c r="L44" s="13" t="s">
        <v>168</v>
      </c>
      <c r="M44" s="13"/>
    </row>
    <row r="45" spans="1:13" ht="19.95" customHeight="1" x14ac:dyDescent="0.3">
      <c r="A45" s="18">
        <v>42</v>
      </c>
      <c r="B45" s="19" t="s">
        <v>269</v>
      </c>
      <c r="C45" s="18" t="s">
        <v>270</v>
      </c>
      <c r="D45" s="44" t="s">
        <v>59</v>
      </c>
      <c r="E45" s="19" t="s">
        <v>164</v>
      </c>
      <c r="F45" s="19" t="s">
        <v>165</v>
      </c>
      <c r="G45" s="19" t="s">
        <v>196</v>
      </c>
      <c r="H45" s="19" t="s">
        <v>80</v>
      </c>
      <c r="I45" s="19" t="s">
        <v>167</v>
      </c>
      <c r="J45" s="19" t="s">
        <v>82</v>
      </c>
      <c r="K45" s="21" t="s">
        <v>83</v>
      </c>
      <c r="L45" s="19" t="s">
        <v>168</v>
      </c>
      <c r="M45" s="19"/>
    </row>
  </sheetData>
  <autoFilter ref="A3:M45" xr:uid="{00000000-0009-0000-0000-000005000000}"/>
  <mergeCells count="3">
    <mergeCell ref="O1:P1"/>
    <mergeCell ref="A2:M2"/>
    <mergeCell ref="A1:M1"/>
  </mergeCells>
  <dataValidations count="1">
    <dataValidation type="list" allowBlank="1" sqref="J4:J65" xr:uid="{00000000-0002-0000-05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500-000000000000}"/>
    <hyperlink ref="K5" r:id="rId2" xr:uid="{00000000-0004-0000-0500-000001000000}"/>
    <hyperlink ref="K6" r:id="rId3" xr:uid="{00000000-0004-0000-0500-000002000000}"/>
    <hyperlink ref="K7" r:id="rId4" xr:uid="{00000000-0004-0000-0500-000003000000}"/>
    <hyperlink ref="K8" r:id="rId5" xr:uid="{00000000-0004-0000-0500-000004000000}"/>
    <hyperlink ref="K9" r:id="rId6" xr:uid="{00000000-0004-0000-0500-000005000000}"/>
    <hyperlink ref="K10" r:id="rId7" xr:uid="{00000000-0004-0000-0500-000006000000}"/>
    <hyperlink ref="K11" r:id="rId8" xr:uid="{00000000-0004-0000-0500-000007000000}"/>
    <hyperlink ref="K12" r:id="rId9" xr:uid="{00000000-0004-0000-0500-000008000000}"/>
    <hyperlink ref="K13" r:id="rId10" xr:uid="{00000000-0004-0000-0500-000009000000}"/>
    <hyperlink ref="K14" r:id="rId11" xr:uid="{00000000-0004-0000-0500-00000A000000}"/>
    <hyperlink ref="K15" r:id="rId12" xr:uid="{00000000-0004-0000-0500-00000B000000}"/>
    <hyperlink ref="K16" r:id="rId13" xr:uid="{00000000-0004-0000-0500-00000C000000}"/>
    <hyperlink ref="K17" r:id="rId14" location="exp=0-2" xr:uid="{00000000-0004-0000-0500-00000D000000}"/>
    <hyperlink ref="K18" r:id="rId15" xr:uid="{00000000-0004-0000-0500-00000E000000}"/>
    <hyperlink ref="K19" r:id="rId16" location="q=fresher&amp;t=Jobs" xr:uid="{00000000-0004-0000-0500-00000F000000}"/>
    <hyperlink ref="K20" r:id="rId17" xr:uid="{00000000-0004-0000-0500-000010000000}"/>
    <hyperlink ref="K21" r:id="rId18" xr:uid="{00000000-0004-0000-0500-000011000000}"/>
    <hyperlink ref="K22" r:id="rId19" xr:uid="{00000000-0004-0000-0500-000012000000}"/>
    <hyperlink ref="K23" r:id="rId20" xr:uid="{00000000-0004-0000-0500-000013000000}"/>
    <hyperlink ref="K24" r:id="rId21" xr:uid="{00000000-0004-0000-0500-000014000000}"/>
    <hyperlink ref="K25" r:id="rId22" xr:uid="{00000000-0004-0000-0500-000015000000}"/>
    <hyperlink ref="K26" r:id="rId23" xr:uid="{00000000-0004-0000-0500-000016000000}"/>
    <hyperlink ref="K27" r:id="rId24" xr:uid="{00000000-0004-0000-0500-000017000000}"/>
    <hyperlink ref="K28" r:id="rId25" xr:uid="{00000000-0004-0000-0500-000018000000}"/>
    <hyperlink ref="K29" r:id="rId26" location="q=fresher%20trainee" xr:uid="{00000000-0004-0000-0500-000019000000}"/>
    <hyperlink ref="K30" r:id="rId27" xr:uid="{00000000-0004-0000-0500-00001A000000}"/>
    <hyperlink ref="K31" r:id="rId28" xr:uid="{00000000-0004-0000-0500-00001B000000}"/>
    <hyperlink ref="K32" r:id="rId29" location="!/joblist" xr:uid="{00000000-0004-0000-0500-00001C000000}"/>
    <hyperlink ref="K33" r:id="rId30" location="careers" xr:uid="{00000000-0004-0000-0500-00001D000000}"/>
    <hyperlink ref="K34" r:id="rId31" xr:uid="{00000000-0004-0000-0500-00001E000000}"/>
    <hyperlink ref="K35" r:id="rId32" xr:uid="{00000000-0004-0000-0500-00001F000000}"/>
    <hyperlink ref="K36" r:id="rId33" xr:uid="{00000000-0004-0000-0500-000020000000}"/>
    <hyperlink ref="K37" r:id="rId34" xr:uid="{00000000-0004-0000-0500-000021000000}"/>
    <hyperlink ref="K38" r:id="rId35" xr:uid="{00000000-0004-0000-0500-000022000000}"/>
    <hyperlink ref="K39" r:id="rId36" xr:uid="{00000000-0004-0000-0500-000023000000}"/>
    <hyperlink ref="K40" r:id="rId37" xr:uid="{00000000-0004-0000-0500-000024000000}"/>
    <hyperlink ref="K41" r:id="rId38" xr:uid="{00000000-0004-0000-0500-000025000000}"/>
    <hyperlink ref="K42" r:id="rId39" xr:uid="{00000000-0004-0000-0500-000026000000}"/>
    <hyperlink ref="K43" r:id="rId40" xr:uid="{00000000-0004-0000-0500-000027000000}"/>
    <hyperlink ref="K44" r:id="rId41" xr:uid="{00000000-0004-0000-0500-000028000000}"/>
    <hyperlink ref="K45" r:id="rId42" xr:uid="{00000000-0004-0000-0500-000029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0E8F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17" t="s">
        <v>275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15" t="s">
        <v>57</v>
      </c>
      <c r="P1" s="101"/>
    </row>
    <row r="2" spans="1:16" ht="19.95" customHeight="1" x14ac:dyDescent="0.3">
      <c r="A2" s="116" t="s">
        <v>276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COUNTIF(D4:D4,"Software Development")</f>
        <v>0</v>
      </c>
    </row>
    <row r="3" spans="1:16" ht="19.95" customHeight="1" x14ac:dyDescent="0.3">
      <c r="A3" s="68" t="s">
        <v>60</v>
      </c>
      <c r="B3" s="68" t="s">
        <v>61</v>
      </c>
      <c r="C3" s="68" t="s">
        <v>62</v>
      </c>
      <c r="D3" s="68" t="s">
        <v>63</v>
      </c>
      <c r="E3" s="68" t="s">
        <v>64</v>
      </c>
      <c r="F3" s="68" t="s">
        <v>65</v>
      </c>
      <c r="G3" s="68" t="s">
        <v>66</v>
      </c>
      <c r="H3" s="68" t="s">
        <v>67</v>
      </c>
      <c r="I3" s="68" t="s">
        <v>68</v>
      </c>
      <c r="J3" s="68" t="s">
        <v>69</v>
      </c>
      <c r="K3" s="68" t="s">
        <v>70</v>
      </c>
      <c r="L3" s="68" t="s">
        <v>71</v>
      </c>
      <c r="M3" s="68" t="s">
        <v>72</v>
      </c>
      <c r="O3" s="10" t="s">
        <v>73</v>
      </c>
      <c r="P3" s="11">
        <f>COUNTIF(D4:D4,"AI / ML / Data Science")</f>
        <v>1</v>
      </c>
    </row>
    <row r="4" spans="1:16" ht="19.95" customHeight="1" x14ac:dyDescent="0.3">
      <c r="A4" s="69">
        <v>1</v>
      </c>
      <c r="B4" s="70" t="s">
        <v>132</v>
      </c>
      <c r="C4" s="69" t="s">
        <v>133</v>
      </c>
      <c r="D4" s="55" t="s">
        <v>73</v>
      </c>
      <c r="E4" s="70" t="s">
        <v>134</v>
      </c>
      <c r="F4" s="70" t="s">
        <v>78</v>
      </c>
      <c r="G4" s="70" t="s">
        <v>135</v>
      </c>
      <c r="H4" s="70" t="s">
        <v>80</v>
      </c>
      <c r="I4" s="70" t="s">
        <v>136</v>
      </c>
      <c r="J4" s="70" t="s">
        <v>82</v>
      </c>
      <c r="K4" s="71" t="s">
        <v>83</v>
      </c>
      <c r="L4" s="70" t="s">
        <v>84</v>
      </c>
      <c r="M4" s="70"/>
      <c r="O4" s="16" t="s">
        <v>85</v>
      </c>
      <c r="P4" s="17">
        <f>COUNTIF(D4:D4,"QA / Testing / Automation")</f>
        <v>0</v>
      </c>
    </row>
    <row r="5" spans="1:16" ht="19.95" customHeight="1" x14ac:dyDescent="0.3">
      <c r="O5" s="22" t="s">
        <v>89</v>
      </c>
      <c r="P5" s="23">
        <f>COUNTIF(D4:D4,"DevOps / Cloud / Security")</f>
        <v>0</v>
      </c>
    </row>
    <row r="6" spans="1:16" ht="19.95" customHeight="1" x14ac:dyDescent="0.3">
      <c r="O6" s="24" t="s">
        <v>91</v>
      </c>
      <c r="P6" s="25">
        <f>COUNTIF(D4:D4,"Web Development")</f>
        <v>0</v>
      </c>
    </row>
    <row r="7" spans="1:16" ht="19.95" customHeight="1" x14ac:dyDescent="0.3">
      <c r="O7" s="26" t="s">
        <v>94</v>
      </c>
      <c r="P7" s="27">
        <f>COUNTIF(D4:D4,"Mobile Development")</f>
        <v>0</v>
      </c>
    </row>
    <row r="8" spans="1:16" ht="19.95" customHeight="1" x14ac:dyDescent="0.3">
      <c r="O8" s="28" t="s">
        <v>76</v>
      </c>
      <c r="P8" s="29">
        <f>COUNTIF(D4:D4,"Data &amp; Analytics")</f>
        <v>0</v>
      </c>
    </row>
    <row r="9" spans="1:16" ht="19.95" customHeight="1" x14ac:dyDescent="0.3">
      <c r="O9" s="30" t="s">
        <v>99</v>
      </c>
      <c r="P9" s="31">
        <f>COUNTIF(D4:D4,"BPO / Customer Service")</f>
        <v>0</v>
      </c>
    </row>
    <row r="10" spans="1:16" ht="19.95" customHeight="1" x14ac:dyDescent="0.3">
      <c r="O10" s="32" t="s">
        <v>104</v>
      </c>
      <c r="P10" s="33">
        <f>COUNTIF(D4:D4,"Sales &amp; Business Dev")</f>
        <v>0</v>
      </c>
    </row>
    <row r="11" spans="1:16" ht="19.95" customHeight="1" x14ac:dyDescent="0.3">
      <c r="O11" s="35" t="s">
        <v>107</v>
      </c>
      <c r="P11" s="36">
        <f>COUNTIF(D4:D4,"Marketing &amp; Content")</f>
        <v>0</v>
      </c>
    </row>
    <row r="12" spans="1:16" ht="19.95" customHeight="1" x14ac:dyDescent="0.3">
      <c r="O12" s="37" t="s">
        <v>112</v>
      </c>
      <c r="P12" s="38">
        <f>COUNTIF(D4:D4,"HR &amp; Recruitment")</f>
        <v>0</v>
      </c>
    </row>
    <row r="13" spans="1:16" ht="19.95" customHeight="1" x14ac:dyDescent="0.3">
      <c r="O13" s="40" t="s">
        <v>117</v>
      </c>
      <c r="P13" s="41">
        <f>COUNTIF(D4:D4,"Finance &amp; Accounts")</f>
        <v>0</v>
      </c>
    </row>
    <row r="14" spans="1:16" ht="19.95" customHeight="1" x14ac:dyDescent="0.3">
      <c r="O14" s="42" t="s">
        <v>120</v>
      </c>
      <c r="P14" s="43">
        <f>COUNTIF(D4:D4,"Operations &amp; Logistics")</f>
        <v>0</v>
      </c>
    </row>
    <row r="15" spans="1:16" ht="19.95" customHeight="1" x14ac:dyDescent="0.3">
      <c r="O15" s="45" t="s">
        <v>122</v>
      </c>
      <c r="P15" s="46">
        <f>COUNTIF(D4:D4,"Management Trainee / Admin")</f>
        <v>0</v>
      </c>
    </row>
    <row r="16" spans="1:16" ht="19.95" customHeight="1" x14ac:dyDescent="0.3">
      <c r="O16" s="47" t="s">
        <v>125</v>
      </c>
      <c r="P16" s="48">
        <f>COUNTIF(D4:D4,"Cybersecurity")</f>
        <v>0</v>
      </c>
    </row>
    <row r="17" spans="15:16" ht="19.95" customHeight="1" x14ac:dyDescent="0.3">
      <c r="O17" s="49" t="s">
        <v>88</v>
      </c>
      <c r="P17" s="50">
        <f>COUNTIF(D4:D4,"General / Others")</f>
        <v>0</v>
      </c>
    </row>
  </sheetData>
  <autoFilter ref="A3:M4" xr:uid="{00000000-0009-0000-0000-000006000000}"/>
  <mergeCells count="3">
    <mergeCell ref="O1:P1"/>
    <mergeCell ref="A2:M2"/>
    <mergeCell ref="A1:M1"/>
  </mergeCells>
  <dataValidations count="1">
    <dataValidation type="list" allowBlank="1" sqref="J4:J24" xr:uid="{00000000-0002-0000-06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4E8F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20" t="s">
        <v>277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18" t="s">
        <v>57</v>
      </c>
      <c r="P1" s="101"/>
    </row>
    <row r="2" spans="1:16" ht="19.95" customHeight="1" x14ac:dyDescent="0.3">
      <c r="A2" s="119" t="s">
        <v>278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COUNTIF(D4:D6,"Software Development")</f>
        <v>0</v>
      </c>
    </row>
    <row r="3" spans="1:16" ht="19.95" customHeight="1" x14ac:dyDescent="0.3">
      <c r="A3" s="72" t="s">
        <v>60</v>
      </c>
      <c r="B3" s="72" t="s">
        <v>61</v>
      </c>
      <c r="C3" s="72" t="s">
        <v>62</v>
      </c>
      <c r="D3" s="72" t="s">
        <v>63</v>
      </c>
      <c r="E3" s="72" t="s">
        <v>64</v>
      </c>
      <c r="F3" s="72" t="s">
        <v>65</v>
      </c>
      <c r="G3" s="72" t="s">
        <v>66</v>
      </c>
      <c r="H3" s="72" t="s">
        <v>67</v>
      </c>
      <c r="I3" s="72" t="s">
        <v>68</v>
      </c>
      <c r="J3" s="72" t="s">
        <v>69</v>
      </c>
      <c r="K3" s="72" t="s">
        <v>70</v>
      </c>
      <c r="L3" s="72" t="s">
        <v>71</v>
      </c>
      <c r="M3" s="72" t="s">
        <v>72</v>
      </c>
      <c r="O3" s="10" t="s">
        <v>73</v>
      </c>
      <c r="P3" s="11">
        <f>COUNTIF(D4:D6,"AI / ML / Data Science")</f>
        <v>0</v>
      </c>
    </row>
    <row r="4" spans="1:16" ht="19.95" customHeight="1" x14ac:dyDescent="0.3">
      <c r="A4" s="73">
        <v>1</v>
      </c>
      <c r="B4" s="74" t="s">
        <v>128</v>
      </c>
      <c r="C4" s="73" t="s">
        <v>75</v>
      </c>
      <c r="D4" s="51" t="s">
        <v>91</v>
      </c>
      <c r="E4" s="74" t="s">
        <v>77</v>
      </c>
      <c r="F4" s="74" t="s">
        <v>78</v>
      </c>
      <c r="G4" s="74" t="s">
        <v>79</v>
      </c>
      <c r="H4" s="74" t="s">
        <v>80</v>
      </c>
      <c r="I4" s="74" t="s">
        <v>81</v>
      </c>
      <c r="J4" s="74" t="s">
        <v>82</v>
      </c>
      <c r="K4" s="75" t="s">
        <v>83</v>
      </c>
      <c r="L4" s="74" t="s">
        <v>84</v>
      </c>
      <c r="M4" s="74"/>
      <c r="O4" s="16" t="s">
        <v>85</v>
      </c>
      <c r="P4" s="17">
        <f>COUNTIF(D4:D6,"QA / Testing / Automation")</f>
        <v>0</v>
      </c>
    </row>
    <row r="5" spans="1:16" ht="19.95" customHeight="1" x14ac:dyDescent="0.3">
      <c r="A5" s="18">
        <v>2</v>
      </c>
      <c r="B5" s="19" t="s">
        <v>129</v>
      </c>
      <c r="C5" s="18" t="s">
        <v>75</v>
      </c>
      <c r="D5" s="51" t="s">
        <v>91</v>
      </c>
      <c r="E5" s="19" t="s">
        <v>77</v>
      </c>
      <c r="F5" s="19" t="s">
        <v>78</v>
      </c>
      <c r="G5" s="19" t="s">
        <v>79</v>
      </c>
      <c r="H5" s="19" t="s">
        <v>80</v>
      </c>
      <c r="I5" s="19" t="s">
        <v>81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COUNTIF(D4:D6,"DevOps / Cloud / Security")</f>
        <v>0</v>
      </c>
    </row>
    <row r="6" spans="1:16" ht="19.95" customHeight="1" x14ac:dyDescent="0.3">
      <c r="A6" s="73">
        <v>3</v>
      </c>
      <c r="B6" s="74" t="s">
        <v>158</v>
      </c>
      <c r="C6" s="73" t="s">
        <v>159</v>
      </c>
      <c r="D6" s="51" t="s">
        <v>91</v>
      </c>
      <c r="E6" s="74" t="s">
        <v>77</v>
      </c>
      <c r="F6" s="74" t="s">
        <v>78</v>
      </c>
      <c r="G6" s="74" t="s">
        <v>108</v>
      </c>
      <c r="H6" s="74" t="s">
        <v>80</v>
      </c>
      <c r="I6" s="74" t="s">
        <v>136</v>
      </c>
      <c r="J6" s="74" t="s">
        <v>82</v>
      </c>
      <c r="K6" s="75" t="s">
        <v>83</v>
      </c>
      <c r="L6" s="74" t="s">
        <v>84</v>
      </c>
      <c r="M6" s="74"/>
      <c r="O6" s="24" t="s">
        <v>91</v>
      </c>
      <c r="P6" s="25">
        <f>COUNTIF(D4:D6,"Web Development")</f>
        <v>3</v>
      </c>
    </row>
    <row r="7" spans="1:16" ht="19.95" customHeight="1" x14ac:dyDescent="0.3">
      <c r="O7" s="26" t="s">
        <v>94</v>
      </c>
      <c r="P7" s="27">
        <f>COUNTIF(D4:D6,"Mobile Development")</f>
        <v>0</v>
      </c>
    </row>
    <row r="8" spans="1:16" ht="19.95" customHeight="1" x14ac:dyDescent="0.3">
      <c r="O8" s="28" t="s">
        <v>76</v>
      </c>
      <c r="P8" s="29">
        <f>COUNTIF(D4:D6,"Data &amp; Analytics")</f>
        <v>0</v>
      </c>
    </row>
    <row r="9" spans="1:16" ht="19.95" customHeight="1" x14ac:dyDescent="0.3">
      <c r="O9" s="30" t="s">
        <v>99</v>
      </c>
      <c r="P9" s="31">
        <f>COUNTIF(D4:D6,"BPO / Customer Service")</f>
        <v>0</v>
      </c>
    </row>
    <row r="10" spans="1:16" ht="19.95" customHeight="1" x14ac:dyDescent="0.3">
      <c r="O10" s="32" t="s">
        <v>104</v>
      </c>
      <c r="P10" s="33">
        <f>COUNTIF(D4:D6,"Sales &amp; Business Dev")</f>
        <v>0</v>
      </c>
    </row>
    <row r="11" spans="1:16" ht="19.95" customHeight="1" x14ac:dyDescent="0.3">
      <c r="O11" s="35" t="s">
        <v>107</v>
      </c>
      <c r="P11" s="36">
        <f>COUNTIF(D4:D6,"Marketing &amp; Content")</f>
        <v>0</v>
      </c>
    </row>
    <row r="12" spans="1:16" ht="19.95" customHeight="1" x14ac:dyDescent="0.3">
      <c r="O12" s="37" t="s">
        <v>112</v>
      </c>
      <c r="P12" s="38">
        <f>COUNTIF(D4:D6,"HR &amp; Recruitment")</f>
        <v>0</v>
      </c>
    </row>
    <row r="13" spans="1:16" ht="19.95" customHeight="1" x14ac:dyDescent="0.3">
      <c r="O13" s="40" t="s">
        <v>117</v>
      </c>
      <c r="P13" s="41">
        <f>COUNTIF(D4:D6,"Finance &amp; Accounts")</f>
        <v>0</v>
      </c>
    </row>
    <row r="14" spans="1:16" ht="19.95" customHeight="1" x14ac:dyDescent="0.3">
      <c r="O14" s="42" t="s">
        <v>120</v>
      </c>
      <c r="P14" s="43">
        <f>COUNTIF(D4:D6,"Operations &amp; Logistics")</f>
        <v>0</v>
      </c>
    </row>
    <row r="15" spans="1:16" ht="19.95" customHeight="1" x14ac:dyDescent="0.3">
      <c r="O15" s="45" t="s">
        <v>122</v>
      </c>
      <c r="P15" s="46">
        <f>COUNTIF(D4:D6,"Management Trainee / Admin")</f>
        <v>0</v>
      </c>
    </row>
    <row r="16" spans="1:16" ht="19.95" customHeight="1" x14ac:dyDescent="0.3">
      <c r="O16" s="47" t="s">
        <v>125</v>
      </c>
      <c r="P16" s="48">
        <f>COUNTIF(D4:D6,"Cybersecurity")</f>
        <v>0</v>
      </c>
    </row>
    <row r="17" spans="15:16" ht="19.95" customHeight="1" x14ac:dyDescent="0.3">
      <c r="O17" s="49" t="s">
        <v>88</v>
      </c>
      <c r="P17" s="50">
        <f>COUNTIF(D4:D6,"General / Others")</f>
        <v>0</v>
      </c>
    </row>
  </sheetData>
  <autoFilter ref="A3:M6" xr:uid="{00000000-0009-0000-0000-000007000000}"/>
  <mergeCells count="3">
    <mergeCell ref="O1:P1"/>
    <mergeCell ref="A2:M2"/>
    <mergeCell ref="A1:M1"/>
  </mergeCells>
  <dataValidations count="1">
    <dataValidation type="list" allowBlank="1" sqref="J4:J26" xr:uid="{00000000-0002-0000-07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700-000000000000}"/>
    <hyperlink ref="K5" r:id="rId2" xr:uid="{00000000-0004-0000-0700-000001000000}"/>
    <hyperlink ref="K6" r:id="rId3" xr:uid="{00000000-0004-0000-0700-000002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D1A8F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23" t="s">
        <v>279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21" t="s">
        <v>57</v>
      </c>
      <c r="P1" s="101"/>
    </row>
    <row r="2" spans="1:16" ht="19.95" customHeight="1" x14ac:dyDescent="0.3">
      <c r="A2" s="122" t="s">
        <v>280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COUNTIF(D4:D4,"Software Development")</f>
        <v>0</v>
      </c>
    </row>
    <row r="3" spans="1:16" ht="19.95" customHeight="1" x14ac:dyDescent="0.3">
      <c r="A3" s="76" t="s">
        <v>60</v>
      </c>
      <c r="B3" s="76" t="s">
        <v>61</v>
      </c>
      <c r="C3" s="76" t="s">
        <v>62</v>
      </c>
      <c r="D3" s="76" t="s">
        <v>63</v>
      </c>
      <c r="E3" s="76" t="s">
        <v>64</v>
      </c>
      <c r="F3" s="76" t="s">
        <v>65</v>
      </c>
      <c r="G3" s="76" t="s">
        <v>66</v>
      </c>
      <c r="H3" s="76" t="s">
        <v>67</v>
      </c>
      <c r="I3" s="76" t="s">
        <v>68</v>
      </c>
      <c r="J3" s="76" t="s">
        <v>69</v>
      </c>
      <c r="K3" s="76" t="s">
        <v>70</v>
      </c>
      <c r="L3" s="76" t="s">
        <v>71</v>
      </c>
      <c r="M3" s="76" t="s">
        <v>72</v>
      </c>
      <c r="O3" s="10" t="s">
        <v>73</v>
      </c>
      <c r="P3" s="11">
        <f>COUNTIF(D4:D4,"AI / ML / Data Science")</f>
        <v>0</v>
      </c>
    </row>
    <row r="4" spans="1:16" ht="19.95" customHeight="1" x14ac:dyDescent="0.3">
      <c r="A4" s="77">
        <v>1</v>
      </c>
      <c r="B4" s="78" t="s">
        <v>74</v>
      </c>
      <c r="C4" s="77" t="s">
        <v>75</v>
      </c>
      <c r="D4" s="14" t="s">
        <v>76</v>
      </c>
      <c r="E4" s="78" t="s">
        <v>77</v>
      </c>
      <c r="F4" s="78" t="s">
        <v>78</v>
      </c>
      <c r="G4" s="78" t="s">
        <v>79</v>
      </c>
      <c r="H4" s="78" t="s">
        <v>80</v>
      </c>
      <c r="I4" s="78" t="s">
        <v>81</v>
      </c>
      <c r="J4" s="78" t="s">
        <v>82</v>
      </c>
      <c r="K4" s="79" t="s">
        <v>83</v>
      </c>
      <c r="L4" s="78" t="s">
        <v>84</v>
      </c>
      <c r="M4" s="78"/>
      <c r="O4" s="16" t="s">
        <v>85</v>
      </c>
      <c r="P4" s="17">
        <f>COUNTIF(D4:D4,"QA / Testing / Automation")</f>
        <v>0</v>
      </c>
    </row>
    <row r="5" spans="1:16" ht="19.95" customHeight="1" x14ac:dyDescent="0.3">
      <c r="O5" s="22" t="s">
        <v>89</v>
      </c>
      <c r="P5" s="23">
        <f>COUNTIF(D4:D4,"DevOps / Cloud / Security")</f>
        <v>0</v>
      </c>
    </row>
    <row r="6" spans="1:16" ht="19.95" customHeight="1" x14ac:dyDescent="0.3">
      <c r="O6" s="24" t="s">
        <v>91</v>
      </c>
      <c r="P6" s="25">
        <f>COUNTIF(D4:D4,"Web Development")</f>
        <v>0</v>
      </c>
    </row>
    <row r="7" spans="1:16" ht="19.95" customHeight="1" x14ac:dyDescent="0.3">
      <c r="O7" s="26" t="s">
        <v>94</v>
      </c>
      <c r="P7" s="27">
        <f>COUNTIF(D4:D4,"Mobile Development")</f>
        <v>0</v>
      </c>
    </row>
    <row r="8" spans="1:16" ht="19.95" customHeight="1" x14ac:dyDescent="0.3">
      <c r="O8" s="28" t="s">
        <v>76</v>
      </c>
      <c r="P8" s="29">
        <f>COUNTIF(D4:D4,"Data &amp; Analytics")</f>
        <v>1</v>
      </c>
    </row>
    <row r="9" spans="1:16" ht="19.95" customHeight="1" x14ac:dyDescent="0.3">
      <c r="O9" s="30" t="s">
        <v>99</v>
      </c>
      <c r="P9" s="31">
        <f>COUNTIF(D4:D4,"BPO / Customer Service")</f>
        <v>0</v>
      </c>
    </row>
    <row r="10" spans="1:16" ht="19.95" customHeight="1" x14ac:dyDescent="0.3">
      <c r="O10" s="32" t="s">
        <v>104</v>
      </c>
      <c r="P10" s="33">
        <f>COUNTIF(D4:D4,"Sales &amp; Business Dev")</f>
        <v>0</v>
      </c>
    </row>
    <row r="11" spans="1:16" ht="19.95" customHeight="1" x14ac:dyDescent="0.3">
      <c r="O11" s="35" t="s">
        <v>107</v>
      </c>
      <c r="P11" s="36">
        <f>COUNTIF(D4:D4,"Marketing &amp; Content")</f>
        <v>0</v>
      </c>
    </row>
    <row r="12" spans="1:16" ht="19.95" customHeight="1" x14ac:dyDescent="0.3">
      <c r="O12" s="37" t="s">
        <v>112</v>
      </c>
      <c r="P12" s="38">
        <f>COUNTIF(D4:D4,"HR &amp; Recruitment")</f>
        <v>0</v>
      </c>
    </row>
    <row r="13" spans="1:16" ht="19.95" customHeight="1" x14ac:dyDescent="0.3">
      <c r="O13" s="40" t="s">
        <v>117</v>
      </c>
      <c r="P13" s="41">
        <f>COUNTIF(D4:D4,"Finance &amp; Accounts")</f>
        <v>0</v>
      </c>
    </row>
    <row r="14" spans="1:16" ht="19.95" customHeight="1" x14ac:dyDescent="0.3">
      <c r="O14" s="42" t="s">
        <v>120</v>
      </c>
      <c r="P14" s="43">
        <f>COUNTIF(D4:D4,"Operations &amp; Logistics")</f>
        <v>0</v>
      </c>
    </row>
    <row r="15" spans="1:16" ht="19.95" customHeight="1" x14ac:dyDescent="0.3">
      <c r="O15" s="45" t="s">
        <v>122</v>
      </c>
      <c r="P15" s="46">
        <f>COUNTIF(D4:D4,"Management Trainee / Admin")</f>
        <v>0</v>
      </c>
    </row>
    <row r="16" spans="1:16" ht="19.95" customHeight="1" x14ac:dyDescent="0.3">
      <c r="O16" s="47" t="s">
        <v>125</v>
      </c>
      <c r="P16" s="48">
        <f>COUNTIF(D4:D4,"Cybersecurity")</f>
        <v>0</v>
      </c>
    </row>
    <row r="17" spans="15:16" ht="19.95" customHeight="1" x14ac:dyDescent="0.3">
      <c r="O17" s="49" t="s">
        <v>88</v>
      </c>
      <c r="P17" s="50">
        <f>COUNTIF(D4:D4,"General / Others")</f>
        <v>0</v>
      </c>
    </row>
  </sheetData>
  <autoFilter ref="A3:M4" xr:uid="{00000000-0009-0000-0000-000008000000}"/>
  <mergeCells count="3">
    <mergeCell ref="O1:P1"/>
    <mergeCell ref="A2:M2"/>
    <mergeCell ref="A1:M1"/>
  </mergeCells>
  <dataValidations count="1">
    <dataValidation type="list" allowBlank="1" sqref="J4:J24" xr:uid="{00000000-0002-0000-08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F5C0E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26" t="s">
        <v>281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24" t="s">
        <v>57</v>
      </c>
      <c r="P1" s="101"/>
    </row>
    <row r="2" spans="1:16" ht="19.95" customHeight="1" x14ac:dyDescent="0.3">
      <c r="A2" s="125" t="s">
        <v>282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COUNTIF(D4:D11,"Software Development")</f>
        <v>0</v>
      </c>
    </row>
    <row r="3" spans="1:16" ht="19.95" customHeight="1" x14ac:dyDescent="0.3">
      <c r="A3" s="80" t="s">
        <v>60</v>
      </c>
      <c r="B3" s="80" t="s">
        <v>61</v>
      </c>
      <c r="C3" s="80" t="s">
        <v>62</v>
      </c>
      <c r="D3" s="80" t="s">
        <v>63</v>
      </c>
      <c r="E3" s="80" t="s">
        <v>64</v>
      </c>
      <c r="F3" s="80" t="s">
        <v>65</v>
      </c>
      <c r="G3" s="80" t="s">
        <v>66</v>
      </c>
      <c r="H3" s="80" t="s">
        <v>67</v>
      </c>
      <c r="I3" s="80" t="s">
        <v>68</v>
      </c>
      <c r="J3" s="80" t="s">
        <v>69</v>
      </c>
      <c r="K3" s="80" t="s">
        <v>70</v>
      </c>
      <c r="L3" s="80" t="s">
        <v>71</v>
      </c>
      <c r="M3" s="80" t="s">
        <v>72</v>
      </c>
      <c r="O3" s="10" t="s">
        <v>73</v>
      </c>
      <c r="P3" s="11">
        <f>COUNTIF(D4:D11,"AI / ML / Data Science")</f>
        <v>0</v>
      </c>
    </row>
    <row r="4" spans="1:16" ht="19.95" customHeight="1" x14ac:dyDescent="0.3">
      <c r="A4" s="81">
        <v>1</v>
      </c>
      <c r="B4" s="82" t="s">
        <v>162</v>
      </c>
      <c r="C4" s="81" t="s">
        <v>163</v>
      </c>
      <c r="D4" s="62" t="s">
        <v>99</v>
      </c>
      <c r="E4" s="82" t="s">
        <v>164</v>
      </c>
      <c r="F4" s="82" t="s">
        <v>165</v>
      </c>
      <c r="G4" s="82" t="s">
        <v>166</v>
      </c>
      <c r="H4" s="82" t="s">
        <v>80</v>
      </c>
      <c r="I4" s="82" t="s">
        <v>167</v>
      </c>
      <c r="J4" s="82" t="s">
        <v>82</v>
      </c>
      <c r="K4" s="83" t="s">
        <v>83</v>
      </c>
      <c r="L4" s="82" t="s">
        <v>168</v>
      </c>
      <c r="M4" s="82"/>
      <c r="O4" s="16" t="s">
        <v>85</v>
      </c>
      <c r="P4" s="17">
        <f>COUNTIF(D4:D11,"QA / Testing / Automation")</f>
        <v>0</v>
      </c>
    </row>
    <row r="5" spans="1:16" ht="19.95" customHeight="1" x14ac:dyDescent="0.3">
      <c r="A5" s="18">
        <v>2</v>
      </c>
      <c r="B5" s="19" t="s">
        <v>169</v>
      </c>
      <c r="C5" s="18" t="s">
        <v>170</v>
      </c>
      <c r="D5" s="62" t="s">
        <v>99</v>
      </c>
      <c r="E5" s="19" t="s">
        <v>164</v>
      </c>
      <c r="F5" s="19" t="s">
        <v>165</v>
      </c>
      <c r="G5" s="19" t="s">
        <v>166</v>
      </c>
      <c r="H5" s="19" t="s">
        <v>80</v>
      </c>
      <c r="I5" s="19" t="s">
        <v>167</v>
      </c>
      <c r="J5" s="19" t="s">
        <v>82</v>
      </c>
      <c r="K5" s="21" t="s">
        <v>83</v>
      </c>
      <c r="L5" s="19" t="s">
        <v>168</v>
      </c>
      <c r="M5" s="19"/>
      <c r="O5" s="22" t="s">
        <v>89</v>
      </c>
      <c r="P5" s="23">
        <f>COUNTIF(D4:D11,"DevOps / Cloud / Security")</f>
        <v>0</v>
      </c>
    </row>
    <row r="6" spans="1:16" ht="19.95" customHeight="1" x14ac:dyDescent="0.3">
      <c r="A6" s="81">
        <v>3</v>
      </c>
      <c r="B6" s="82" t="s">
        <v>171</v>
      </c>
      <c r="C6" s="81" t="s">
        <v>172</v>
      </c>
      <c r="D6" s="62" t="s">
        <v>99</v>
      </c>
      <c r="E6" s="82" t="s">
        <v>164</v>
      </c>
      <c r="F6" s="82" t="s">
        <v>165</v>
      </c>
      <c r="G6" s="82" t="s">
        <v>166</v>
      </c>
      <c r="H6" s="82" t="s">
        <v>80</v>
      </c>
      <c r="I6" s="82" t="s">
        <v>167</v>
      </c>
      <c r="J6" s="82" t="s">
        <v>82</v>
      </c>
      <c r="K6" s="83" t="s">
        <v>83</v>
      </c>
      <c r="L6" s="82" t="s">
        <v>168</v>
      </c>
      <c r="M6" s="82"/>
      <c r="O6" s="24" t="s">
        <v>91</v>
      </c>
      <c r="P6" s="25">
        <f>COUNTIF(D4:D11,"Web Development")</f>
        <v>0</v>
      </c>
    </row>
    <row r="7" spans="1:16" ht="19.95" customHeight="1" x14ac:dyDescent="0.3">
      <c r="A7" s="18">
        <v>4</v>
      </c>
      <c r="B7" s="19" t="s">
        <v>173</v>
      </c>
      <c r="C7" s="18" t="s">
        <v>174</v>
      </c>
      <c r="D7" s="62" t="s">
        <v>99</v>
      </c>
      <c r="E7" s="19" t="s">
        <v>164</v>
      </c>
      <c r="F7" s="19" t="s">
        <v>165</v>
      </c>
      <c r="G7" s="19" t="s">
        <v>166</v>
      </c>
      <c r="H7" s="19" t="s">
        <v>80</v>
      </c>
      <c r="I7" s="19" t="s">
        <v>167</v>
      </c>
      <c r="J7" s="19" t="s">
        <v>82</v>
      </c>
      <c r="K7" s="21" t="s">
        <v>83</v>
      </c>
      <c r="L7" s="19" t="s">
        <v>168</v>
      </c>
      <c r="M7" s="19"/>
      <c r="O7" s="26" t="s">
        <v>94</v>
      </c>
      <c r="P7" s="27">
        <f>COUNTIF(D4:D11,"Mobile Development")</f>
        <v>0</v>
      </c>
    </row>
    <row r="8" spans="1:16" ht="19.95" customHeight="1" x14ac:dyDescent="0.3">
      <c r="A8" s="81">
        <v>5</v>
      </c>
      <c r="B8" s="82" t="s">
        <v>175</v>
      </c>
      <c r="C8" s="81" t="s">
        <v>176</v>
      </c>
      <c r="D8" s="62" t="s">
        <v>99</v>
      </c>
      <c r="E8" s="82" t="s">
        <v>164</v>
      </c>
      <c r="F8" s="82" t="s">
        <v>165</v>
      </c>
      <c r="G8" s="82" t="s">
        <v>166</v>
      </c>
      <c r="H8" s="82" t="s">
        <v>80</v>
      </c>
      <c r="I8" s="82" t="s">
        <v>167</v>
      </c>
      <c r="J8" s="82" t="s">
        <v>82</v>
      </c>
      <c r="K8" s="83" t="s">
        <v>83</v>
      </c>
      <c r="L8" s="82" t="s">
        <v>168</v>
      </c>
      <c r="M8" s="82"/>
      <c r="O8" s="28" t="s">
        <v>76</v>
      </c>
      <c r="P8" s="29">
        <f>COUNTIF(D4:D11,"Data &amp; Analytics")</f>
        <v>0</v>
      </c>
    </row>
    <row r="9" spans="1:16" ht="19.95" customHeight="1" x14ac:dyDescent="0.3">
      <c r="A9" s="18">
        <v>6</v>
      </c>
      <c r="B9" s="19" t="s">
        <v>177</v>
      </c>
      <c r="C9" s="18" t="s">
        <v>178</v>
      </c>
      <c r="D9" s="62" t="s">
        <v>99</v>
      </c>
      <c r="E9" s="19" t="s">
        <v>164</v>
      </c>
      <c r="F9" s="19" t="s">
        <v>165</v>
      </c>
      <c r="G9" s="19" t="s">
        <v>166</v>
      </c>
      <c r="H9" s="19" t="s">
        <v>80</v>
      </c>
      <c r="I9" s="19" t="s">
        <v>167</v>
      </c>
      <c r="J9" s="19" t="s">
        <v>82</v>
      </c>
      <c r="K9" s="21" t="s">
        <v>83</v>
      </c>
      <c r="L9" s="19" t="s">
        <v>168</v>
      </c>
      <c r="M9" s="19"/>
      <c r="O9" s="30" t="s">
        <v>99</v>
      </c>
      <c r="P9" s="31">
        <f>COUNTIF(D4:D11,"BPO / Customer Service")</f>
        <v>8</v>
      </c>
    </row>
    <row r="10" spans="1:16" ht="19.95" customHeight="1" x14ac:dyDescent="0.3">
      <c r="A10" s="81">
        <v>7</v>
      </c>
      <c r="B10" s="82" t="s">
        <v>179</v>
      </c>
      <c r="C10" s="81" t="s">
        <v>180</v>
      </c>
      <c r="D10" s="62" t="s">
        <v>99</v>
      </c>
      <c r="E10" s="82" t="s">
        <v>164</v>
      </c>
      <c r="F10" s="82" t="s">
        <v>165</v>
      </c>
      <c r="G10" s="82" t="s">
        <v>166</v>
      </c>
      <c r="H10" s="82" t="s">
        <v>80</v>
      </c>
      <c r="I10" s="82" t="s">
        <v>167</v>
      </c>
      <c r="J10" s="82" t="s">
        <v>82</v>
      </c>
      <c r="K10" s="83" t="s">
        <v>83</v>
      </c>
      <c r="L10" s="82" t="s">
        <v>168</v>
      </c>
      <c r="M10" s="82"/>
      <c r="O10" s="32" t="s">
        <v>104</v>
      </c>
      <c r="P10" s="33">
        <f>COUNTIF(D4:D11,"Sales &amp; Business Dev")</f>
        <v>0</v>
      </c>
    </row>
    <row r="11" spans="1:16" ht="19.95" customHeight="1" x14ac:dyDescent="0.3">
      <c r="A11" s="18">
        <v>8</v>
      </c>
      <c r="B11" s="19" t="s">
        <v>181</v>
      </c>
      <c r="C11" s="18" t="s">
        <v>182</v>
      </c>
      <c r="D11" s="62" t="s">
        <v>99</v>
      </c>
      <c r="E11" s="19" t="s">
        <v>164</v>
      </c>
      <c r="F11" s="19" t="s">
        <v>165</v>
      </c>
      <c r="G11" s="19" t="s">
        <v>166</v>
      </c>
      <c r="H11" s="19" t="s">
        <v>80</v>
      </c>
      <c r="I11" s="19" t="s">
        <v>167</v>
      </c>
      <c r="J11" s="19" t="s">
        <v>82</v>
      </c>
      <c r="K11" s="21" t="s">
        <v>83</v>
      </c>
      <c r="L11" s="19" t="s">
        <v>168</v>
      </c>
      <c r="M11" s="19"/>
      <c r="O11" s="35" t="s">
        <v>107</v>
      </c>
      <c r="P11" s="36">
        <f>COUNTIF(D4:D11,"Marketing &amp; Content")</f>
        <v>0</v>
      </c>
    </row>
    <row r="12" spans="1:16" ht="19.95" customHeight="1" x14ac:dyDescent="0.3">
      <c r="O12" s="37" t="s">
        <v>112</v>
      </c>
      <c r="P12" s="38">
        <f>COUNTIF(D4:D11,"HR &amp; Recruitment")</f>
        <v>0</v>
      </c>
    </row>
    <row r="13" spans="1:16" ht="19.95" customHeight="1" x14ac:dyDescent="0.3">
      <c r="O13" s="40" t="s">
        <v>117</v>
      </c>
      <c r="P13" s="41">
        <f>COUNTIF(D4:D11,"Finance &amp; Accounts")</f>
        <v>0</v>
      </c>
    </row>
    <row r="14" spans="1:16" ht="19.95" customHeight="1" x14ac:dyDescent="0.3">
      <c r="O14" s="42" t="s">
        <v>120</v>
      </c>
      <c r="P14" s="43">
        <f>COUNTIF(D4:D11,"Operations &amp; Logistics")</f>
        <v>0</v>
      </c>
    </row>
    <row r="15" spans="1:16" ht="19.95" customHeight="1" x14ac:dyDescent="0.3">
      <c r="O15" s="45" t="s">
        <v>122</v>
      </c>
      <c r="P15" s="46">
        <f>COUNTIF(D4:D11,"Management Trainee / Admin")</f>
        <v>0</v>
      </c>
    </row>
    <row r="16" spans="1:16" ht="19.95" customHeight="1" x14ac:dyDescent="0.3">
      <c r="O16" s="47" t="s">
        <v>125</v>
      </c>
      <c r="P16" s="48">
        <f>COUNTIF(D4:D11,"Cybersecurity")</f>
        <v>0</v>
      </c>
    </row>
    <row r="17" spans="15:16" ht="19.95" customHeight="1" x14ac:dyDescent="0.3">
      <c r="O17" s="49" t="s">
        <v>88</v>
      </c>
      <c r="P17" s="50">
        <f>COUNTIF(D4:D11,"General / Others")</f>
        <v>0</v>
      </c>
    </row>
  </sheetData>
  <autoFilter ref="A3:M11" xr:uid="{00000000-0009-0000-0000-000009000000}"/>
  <mergeCells count="3">
    <mergeCell ref="O1:P1"/>
    <mergeCell ref="A2:M2"/>
    <mergeCell ref="A1:M1"/>
  </mergeCells>
  <dataValidations count="1">
    <dataValidation type="list" allowBlank="1" sqref="J4:J31" xr:uid="{00000000-0002-0000-09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900-000000000000}"/>
    <hyperlink ref="K5" r:id="rId2" xr:uid="{00000000-0004-0000-0900-000001000000}"/>
    <hyperlink ref="K6" r:id="rId3" xr:uid="{00000000-0004-0000-0900-000002000000}"/>
    <hyperlink ref="K7" r:id="rId4" xr:uid="{00000000-0004-0000-0900-000003000000}"/>
    <hyperlink ref="K8" r:id="rId5" xr:uid="{00000000-0004-0000-0900-000004000000}"/>
    <hyperlink ref="K9" r:id="rId6" xr:uid="{00000000-0004-0000-0900-000005000000}"/>
    <hyperlink ref="K10" r:id="rId7" xr:uid="{00000000-0004-0000-0900-000006000000}"/>
    <hyperlink ref="K11" r:id="rId8" xr:uid="{00000000-0004-0000-0900-000007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F0E4A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29" t="s">
        <v>283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27" t="s">
        <v>57</v>
      </c>
      <c r="P1" s="101"/>
    </row>
    <row r="2" spans="1:16" ht="19.95" customHeight="1" x14ac:dyDescent="0.3">
      <c r="A2" s="128" t="s">
        <v>284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COUNTIF(D4:D7,"Software Development")</f>
        <v>0</v>
      </c>
    </row>
    <row r="3" spans="1:16" ht="19.95" customHeight="1" x14ac:dyDescent="0.3">
      <c r="A3" s="84" t="s">
        <v>60</v>
      </c>
      <c r="B3" s="84" t="s">
        <v>61</v>
      </c>
      <c r="C3" s="84" t="s">
        <v>62</v>
      </c>
      <c r="D3" s="84" t="s">
        <v>63</v>
      </c>
      <c r="E3" s="84" t="s">
        <v>64</v>
      </c>
      <c r="F3" s="84" t="s">
        <v>65</v>
      </c>
      <c r="G3" s="84" t="s">
        <v>66</v>
      </c>
      <c r="H3" s="84" t="s">
        <v>67</v>
      </c>
      <c r="I3" s="84" t="s">
        <v>68</v>
      </c>
      <c r="J3" s="84" t="s">
        <v>69</v>
      </c>
      <c r="K3" s="84" t="s">
        <v>70</v>
      </c>
      <c r="L3" s="84" t="s">
        <v>71</v>
      </c>
      <c r="M3" s="84" t="s">
        <v>72</v>
      </c>
      <c r="O3" s="10" t="s">
        <v>73</v>
      </c>
      <c r="P3" s="11">
        <f>COUNTIF(D4:D7,"AI / ML / Data Science")</f>
        <v>0</v>
      </c>
    </row>
    <row r="4" spans="1:16" ht="19.95" customHeight="1" x14ac:dyDescent="0.3">
      <c r="A4" s="85">
        <v>1</v>
      </c>
      <c r="B4" s="86" t="s">
        <v>113</v>
      </c>
      <c r="C4" s="85" t="s">
        <v>114</v>
      </c>
      <c r="D4" s="39" t="s">
        <v>104</v>
      </c>
      <c r="E4" s="86" t="s">
        <v>115</v>
      </c>
      <c r="F4" s="86" t="s">
        <v>78</v>
      </c>
      <c r="G4" s="86" t="s">
        <v>116</v>
      </c>
      <c r="H4" s="86" t="s">
        <v>80</v>
      </c>
      <c r="I4" s="86" t="s">
        <v>81</v>
      </c>
      <c r="J4" s="86" t="s">
        <v>82</v>
      </c>
      <c r="K4" s="87" t="s">
        <v>83</v>
      </c>
      <c r="L4" s="86" t="s">
        <v>84</v>
      </c>
      <c r="M4" s="86"/>
      <c r="O4" s="16" t="s">
        <v>85</v>
      </c>
      <c r="P4" s="17">
        <f>COUNTIF(D4:D7,"QA / Testing / Automation")</f>
        <v>0</v>
      </c>
    </row>
    <row r="5" spans="1:16" ht="19.95" customHeight="1" x14ac:dyDescent="0.3">
      <c r="A5" s="18">
        <v>2</v>
      </c>
      <c r="B5" s="19" t="s">
        <v>113</v>
      </c>
      <c r="C5" s="18" t="s">
        <v>118</v>
      </c>
      <c r="D5" s="39" t="s">
        <v>104</v>
      </c>
      <c r="E5" s="19" t="s">
        <v>119</v>
      </c>
      <c r="F5" s="19" t="s">
        <v>78</v>
      </c>
      <c r="G5" s="19" t="s">
        <v>116</v>
      </c>
      <c r="H5" s="19" t="s">
        <v>80</v>
      </c>
      <c r="I5" s="19" t="s">
        <v>81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COUNTIF(D4:D7,"DevOps / Cloud / Security")</f>
        <v>0</v>
      </c>
    </row>
    <row r="6" spans="1:16" ht="19.95" customHeight="1" x14ac:dyDescent="0.3">
      <c r="A6" s="85">
        <v>3</v>
      </c>
      <c r="B6" s="86" t="s">
        <v>148</v>
      </c>
      <c r="C6" s="85" t="s">
        <v>149</v>
      </c>
      <c r="D6" s="39" t="s">
        <v>104</v>
      </c>
      <c r="E6" s="86" t="s">
        <v>150</v>
      </c>
      <c r="F6" s="86" t="s">
        <v>78</v>
      </c>
      <c r="G6" s="86" t="s">
        <v>151</v>
      </c>
      <c r="H6" s="86" t="s">
        <v>80</v>
      </c>
      <c r="I6" s="86" t="s">
        <v>136</v>
      </c>
      <c r="J6" s="86" t="s">
        <v>82</v>
      </c>
      <c r="K6" s="87" t="s">
        <v>83</v>
      </c>
      <c r="L6" s="86" t="s">
        <v>84</v>
      </c>
      <c r="M6" s="86"/>
      <c r="O6" s="24" t="s">
        <v>91</v>
      </c>
      <c r="P6" s="25">
        <f>COUNTIF(D4:D7,"Web Development")</f>
        <v>0</v>
      </c>
    </row>
    <row r="7" spans="1:16" ht="19.95" customHeight="1" x14ac:dyDescent="0.3">
      <c r="A7" s="18">
        <v>4</v>
      </c>
      <c r="B7" s="19" t="s">
        <v>152</v>
      </c>
      <c r="C7" s="18" t="s">
        <v>153</v>
      </c>
      <c r="D7" s="39" t="s">
        <v>104</v>
      </c>
      <c r="E7" s="19" t="s">
        <v>154</v>
      </c>
      <c r="F7" s="19" t="s">
        <v>78</v>
      </c>
      <c r="G7" s="19" t="s">
        <v>155</v>
      </c>
      <c r="H7" s="19" t="s">
        <v>80</v>
      </c>
      <c r="I7" s="19" t="s">
        <v>136</v>
      </c>
      <c r="J7" s="19" t="s">
        <v>82</v>
      </c>
      <c r="K7" s="21" t="s">
        <v>83</v>
      </c>
      <c r="L7" s="19" t="s">
        <v>84</v>
      </c>
      <c r="M7" s="19"/>
      <c r="O7" s="26" t="s">
        <v>94</v>
      </c>
      <c r="P7" s="27">
        <f>COUNTIF(D4:D7,"Mobile Development")</f>
        <v>0</v>
      </c>
    </row>
    <row r="8" spans="1:16" ht="19.95" customHeight="1" x14ac:dyDescent="0.3">
      <c r="O8" s="28" t="s">
        <v>76</v>
      </c>
      <c r="P8" s="29">
        <f>COUNTIF(D4:D7,"Data &amp; Analytics")</f>
        <v>0</v>
      </c>
    </row>
    <row r="9" spans="1:16" ht="19.95" customHeight="1" x14ac:dyDescent="0.3">
      <c r="O9" s="30" t="s">
        <v>99</v>
      </c>
      <c r="P9" s="31">
        <f>COUNTIF(D4:D7,"BPO / Customer Service")</f>
        <v>0</v>
      </c>
    </row>
    <row r="10" spans="1:16" ht="19.95" customHeight="1" x14ac:dyDescent="0.3">
      <c r="O10" s="32" t="s">
        <v>104</v>
      </c>
      <c r="P10" s="33">
        <f>COUNTIF(D4:D7,"Sales &amp; Business Dev")</f>
        <v>4</v>
      </c>
    </row>
    <row r="11" spans="1:16" ht="19.95" customHeight="1" x14ac:dyDescent="0.3">
      <c r="O11" s="35" t="s">
        <v>107</v>
      </c>
      <c r="P11" s="36">
        <f>COUNTIF(D4:D7,"Marketing &amp; Content")</f>
        <v>0</v>
      </c>
    </row>
    <row r="12" spans="1:16" ht="19.95" customHeight="1" x14ac:dyDescent="0.3">
      <c r="O12" s="37" t="s">
        <v>112</v>
      </c>
      <c r="P12" s="38">
        <f>COUNTIF(D4:D7,"HR &amp; Recruitment")</f>
        <v>0</v>
      </c>
    </row>
    <row r="13" spans="1:16" ht="19.95" customHeight="1" x14ac:dyDescent="0.3">
      <c r="O13" s="40" t="s">
        <v>117</v>
      </c>
      <c r="P13" s="41">
        <f>COUNTIF(D4:D7,"Finance &amp; Accounts")</f>
        <v>0</v>
      </c>
    </row>
    <row r="14" spans="1:16" ht="19.95" customHeight="1" x14ac:dyDescent="0.3">
      <c r="O14" s="42" t="s">
        <v>120</v>
      </c>
      <c r="P14" s="43">
        <f>COUNTIF(D4:D7,"Operations &amp; Logistics")</f>
        <v>0</v>
      </c>
    </row>
    <row r="15" spans="1:16" ht="19.95" customHeight="1" x14ac:dyDescent="0.3">
      <c r="O15" s="45" t="s">
        <v>122</v>
      </c>
      <c r="P15" s="46">
        <f>COUNTIF(D4:D7,"Management Trainee / Admin")</f>
        <v>0</v>
      </c>
    </row>
    <row r="16" spans="1:16" ht="19.95" customHeight="1" x14ac:dyDescent="0.3">
      <c r="O16" s="47" t="s">
        <v>125</v>
      </c>
      <c r="P16" s="48">
        <f>COUNTIF(D4:D7,"Cybersecurity")</f>
        <v>0</v>
      </c>
    </row>
    <row r="17" spans="15:16" ht="19.95" customHeight="1" x14ac:dyDescent="0.3">
      <c r="O17" s="49" t="s">
        <v>88</v>
      </c>
      <c r="P17" s="50">
        <f>COUNTIF(D4:D7,"General / Others")</f>
        <v>0</v>
      </c>
    </row>
  </sheetData>
  <autoFilter ref="A3:M7" xr:uid="{00000000-0009-0000-0000-00000A000000}"/>
  <mergeCells count="3">
    <mergeCell ref="O1:P1"/>
    <mergeCell ref="A2:M2"/>
    <mergeCell ref="A1:M1"/>
  </mergeCells>
  <dataValidations count="1">
    <dataValidation type="list" allowBlank="1" sqref="J4:J27" xr:uid="{00000000-0002-0000-0A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A00-000000000000}"/>
    <hyperlink ref="K5" r:id="rId2" xr:uid="{00000000-0004-0000-0A00-000001000000}"/>
    <hyperlink ref="K6" r:id="rId3" xr:uid="{00000000-0004-0000-0A00-000002000000}"/>
    <hyperlink ref="K7" r:id="rId4" xr:uid="{00000000-0004-0000-0A00-000003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A2E8F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32" t="s">
        <v>285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30" t="s">
        <v>57</v>
      </c>
      <c r="P1" s="101"/>
    </row>
    <row r="2" spans="1:16" ht="19.95" customHeight="1" x14ac:dyDescent="0.3">
      <c r="A2" s="131" t="s">
        <v>286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COUNTIF(D4:D5,"Software Development")</f>
        <v>0</v>
      </c>
    </row>
    <row r="3" spans="1:16" ht="19.95" customHeight="1" x14ac:dyDescent="0.3">
      <c r="A3" s="88" t="s">
        <v>60</v>
      </c>
      <c r="B3" s="88" t="s">
        <v>61</v>
      </c>
      <c r="C3" s="88" t="s">
        <v>62</v>
      </c>
      <c r="D3" s="88" t="s">
        <v>63</v>
      </c>
      <c r="E3" s="88" t="s">
        <v>64</v>
      </c>
      <c r="F3" s="88" t="s">
        <v>65</v>
      </c>
      <c r="G3" s="88" t="s">
        <v>66</v>
      </c>
      <c r="H3" s="88" t="s">
        <v>67</v>
      </c>
      <c r="I3" s="88" t="s">
        <v>68</v>
      </c>
      <c r="J3" s="88" t="s">
        <v>69</v>
      </c>
      <c r="K3" s="88" t="s">
        <v>70</v>
      </c>
      <c r="L3" s="88" t="s">
        <v>71</v>
      </c>
      <c r="M3" s="88" t="s">
        <v>72</v>
      </c>
      <c r="O3" s="10" t="s">
        <v>73</v>
      </c>
      <c r="P3" s="11">
        <f>COUNTIF(D4:D5,"AI / ML / Data Science")</f>
        <v>0</v>
      </c>
    </row>
    <row r="4" spans="1:16" ht="19.95" customHeight="1" x14ac:dyDescent="0.3">
      <c r="A4" s="89">
        <v>1</v>
      </c>
      <c r="B4" s="90" t="s">
        <v>105</v>
      </c>
      <c r="C4" s="89" t="s">
        <v>106</v>
      </c>
      <c r="D4" s="34" t="s">
        <v>107</v>
      </c>
      <c r="E4" s="90" t="s">
        <v>77</v>
      </c>
      <c r="F4" s="90" t="s">
        <v>78</v>
      </c>
      <c r="G4" s="90" t="s">
        <v>108</v>
      </c>
      <c r="H4" s="90" t="s">
        <v>80</v>
      </c>
      <c r="I4" s="90" t="s">
        <v>81</v>
      </c>
      <c r="J4" s="90" t="s">
        <v>82</v>
      </c>
      <c r="K4" s="91" t="s">
        <v>83</v>
      </c>
      <c r="L4" s="90" t="s">
        <v>84</v>
      </c>
      <c r="M4" s="90"/>
      <c r="O4" s="16" t="s">
        <v>85</v>
      </c>
      <c r="P4" s="17">
        <f>COUNTIF(D4:D5,"QA / Testing / Automation")</f>
        <v>0</v>
      </c>
    </row>
    <row r="5" spans="1:16" ht="19.95" customHeight="1" x14ac:dyDescent="0.3">
      <c r="A5" s="18">
        <v>2</v>
      </c>
      <c r="B5" s="19" t="s">
        <v>109</v>
      </c>
      <c r="C5" s="18" t="s">
        <v>110</v>
      </c>
      <c r="D5" s="34" t="s">
        <v>107</v>
      </c>
      <c r="E5" s="19" t="s">
        <v>111</v>
      </c>
      <c r="F5" s="19" t="s">
        <v>78</v>
      </c>
      <c r="G5" s="19" t="s">
        <v>108</v>
      </c>
      <c r="H5" s="19" t="s">
        <v>80</v>
      </c>
      <c r="I5" s="19" t="s">
        <v>81</v>
      </c>
      <c r="J5" s="19" t="s">
        <v>82</v>
      </c>
      <c r="K5" s="21" t="s">
        <v>83</v>
      </c>
      <c r="L5" s="19" t="s">
        <v>84</v>
      </c>
      <c r="M5" s="19"/>
      <c r="O5" s="22" t="s">
        <v>89</v>
      </c>
      <c r="P5" s="23">
        <f>COUNTIF(D4:D5,"DevOps / Cloud / Security")</f>
        <v>0</v>
      </c>
    </row>
    <row r="6" spans="1:16" ht="19.95" customHeight="1" x14ac:dyDescent="0.3">
      <c r="O6" s="24" t="s">
        <v>91</v>
      </c>
      <c r="P6" s="25">
        <f>COUNTIF(D4:D5,"Web Development")</f>
        <v>0</v>
      </c>
    </row>
    <row r="7" spans="1:16" ht="19.95" customHeight="1" x14ac:dyDescent="0.3">
      <c r="O7" s="26" t="s">
        <v>94</v>
      </c>
      <c r="P7" s="27">
        <f>COUNTIF(D4:D5,"Mobile Development")</f>
        <v>0</v>
      </c>
    </row>
    <row r="8" spans="1:16" ht="19.95" customHeight="1" x14ac:dyDescent="0.3">
      <c r="O8" s="28" t="s">
        <v>76</v>
      </c>
      <c r="P8" s="29">
        <f>COUNTIF(D4:D5,"Data &amp; Analytics")</f>
        <v>0</v>
      </c>
    </row>
    <row r="9" spans="1:16" ht="19.95" customHeight="1" x14ac:dyDescent="0.3">
      <c r="O9" s="30" t="s">
        <v>99</v>
      </c>
      <c r="P9" s="31">
        <f>COUNTIF(D4:D5,"BPO / Customer Service")</f>
        <v>0</v>
      </c>
    </row>
    <row r="10" spans="1:16" ht="19.95" customHeight="1" x14ac:dyDescent="0.3">
      <c r="O10" s="32" t="s">
        <v>104</v>
      </c>
      <c r="P10" s="33">
        <f>COUNTIF(D4:D5,"Sales &amp; Business Dev")</f>
        <v>0</v>
      </c>
    </row>
    <row r="11" spans="1:16" ht="19.95" customHeight="1" x14ac:dyDescent="0.3">
      <c r="O11" s="35" t="s">
        <v>107</v>
      </c>
      <c r="P11" s="36">
        <f>COUNTIF(D4:D5,"Marketing &amp; Content")</f>
        <v>2</v>
      </c>
    </row>
    <row r="12" spans="1:16" ht="19.95" customHeight="1" x14ac:dyDescent="0.3">
      <c r="O12" s="37" t="s">
        <v>112</v>
      </c>
      <c r="P12" s="38">
        <f>COUNTIF(D4:D5,"HR &amp; Recruitment")</f>
        <v>0</v>
      </c>
    </row>
    <row r="13" spans="1:16" ht="19.95" customHeight="1" x14ac:dyDescent="0.3">
      <c r="O13" s="40" t="s">
        <v>117</v>
      </c>
      <c r="P13" s="41">
        <f>COUNTIF(D4:D5,"Finance &amp; Accounts")</f>
        <v>0</v>
      </c>
    </row>
    <row r="14" spans="1:16" ht="19.95" customHeight="1" x14ac:dyDescent="0.3">
      <c r="O14" s="42" t="s">
        <v>120</v>
      </c>
      <c r="P14" s="43">
        <f>COUNTIF(D4:D5,"Operations &amp; Logistics")</f>
        <v>0</v>
      </c>
    </row>
    <row r="15" spans="1:16" ht="19.95" customHeight="1" x14ac:dyDescent="0.3">
      <c r="O15" s="45" t="s">
        <v>122</v>
      </c>
      <c r="P15" s="46">
        <f>COUNTIF(D4:D5,"Management Trainee / Admin")</f>
        <v>0</v>
      </c>
    </row>
    <row r="16" spans="1:16" ht="19.95" customHeight="1" x14ac:dyDescent="0.3">
      <c r="O16" s="47" t="s">
        <v>125</v>
      </c>
      <c r="P16" s="48">
        <f>COUNTIF(D4:D5,"Cybersecurity")</f>
        <v>0</v>
      </c>
    </row>
    <row r="17" spans="15:16" ht="19.95" customHeight="1" x14ac:dyDescent="0.3">
      <c r="O17" s="49" t="s">
        <v>88</v>
      </c>
      <c r="P17" s="50">
        <f>COUNTIF(D4:D5,"General / Others")</f>
        <v>0</v>
      </c>
    </row>
  </sheetData>
  <autoFilter ref="A3:M5" xr:uid="{00000000-0009-0000-0000-00000B000000}"/>
  <mergeCells count="3">
    <mergeCell ref="O1:P1"/>
    <mergeCell ref="A2:M2"/>
    <mergeCell ref="A1:M1"/>
  </mergeCells>
  <dataValidations count="1">
    <dataValidation type="list" allowBlank="1" sqref="J4:J25" xr:uid="{00000000-0002-0000-0B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B00-000000000000}"/>
    <hyperlink ref="K5" r:id="rId2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B1A6B"/>
  </sheetPr>
  <dimension ref="A1:P17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35" t="s">
        <v>287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33" t="s">
        <v>57</v>
      </c>
      <c r="P1" s="101"/>
    </row>
    <row r="2" spans="1:16" ht="19.95" customHeight="1" x14ac:dyDescent="0.3">
      <c r="A2" s="134" t="s">
        <v>288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COUNTIF(D4:D4,"Software Development")</f>
        <v>0</v>
      </c>
    </row>
    <row r="3" spans="1:16" ht="19.95" customHeight="1" x14ac:dyDescent="0.3">
      <c r="A3" s="92" t="s">
        <v>60</v>
      </c>
      <c r="B3" s="92" t="s">
        <v>61</v>
      </c>
      <c r="C3" s="92" t="s">
        <v>62</v>
      </c>
      <c r="D3" s="92" t="s">
        <v>63</v>
      </c>
      <c r="E3" s="92" t="s">
        <v>64</v>
      </c>
      <c r="F3" s="92" t="s">
        <v>65</v>
      </c>
      <c r="G3" s="92" t="s">
        <v>66</v>
      </c>
      <c r="H3" s="92" t="s">
        <v>67</v>
      </c>
      <c r="I3" s="92" t="s">
        <v>68</v>
      </c>
      <c r="J3" s="92" t="s">
        <v>69</v>
      </c>
      <c r="K3" s="92" t="s">
        <v>70</v>
      </c>
      <c r="L3" s="92" t="s">
        <v>71</v>
      </c>
      <c r="M3" s="92" t="s">
        <v>72</v>
      </c>
      <c r="O3" s="10" t="s">
        <v>73</v>
      </c>
      <c r="P3" s="11">
        <f>COUNTIF(D4:D4,"AI / ML / Data Science")</f>
        <v>0</v>
      </c>
    </row>
    <row r="4" spans="1:16" ht="19.95" customHeight="1" x14ac:dyDescent="0.3">
      <c r="A4" s="93">
        <v>1</v>
      </c>
      <c r="B4" s="94" t="s">
        <v>144</v>
      </c>
      <c r="C4" s="93" t="s">
        <v>145</v>
      </c>
      <c r="D4" s="58" t="s">
        <v>112</v>
      </c>
      <c r="E4" s="94" t="s">
        <v>146</v>
      </c>
      <c r="F4" s="94" t="s">
        <v>78</v>
      </c>
      <c r="G4" s="94" t="s">
        <v>147</v>
      </c>
      <c r="H4" s="94" t="s">
        <v>80</v>
      </c>
      <c r="I4" s="94" t="s">
        <v>136</v>
      </c>
      <c r="J4" s="94" t="s">
        <v>82</v>
      </c>
      <c r="K4" s="95" t="s">
        <v>83</v>
      </c>
      <c r="L4" s="94" t="s">
        <v>84</v>
      </c>
      <c r="M4" s="94"/>
      <c r="O4" s="16" t="s">
        <v>85</v>
      </c>
      <c r="P4" s="17">
        <f>COUNTIF(D4:D4,"QA / Testing / Automation")</f>
        <v>0</v>
      </c>
    </row>
    <row r="5" spans="1:16" ht="19.95" customHeight="1" x14ac:dyDescent="0.3">
      <c r="O5" s="22" t="s">
        <v>89</v>
      </c>
      <c r="P5" s="23">
        <f>COUNTIF(D4:D4,"DevOps / Cloud / Security")</f>
        <v>0</v>
      </c>
    </row>
    <row r="6" spans="1:16" ht="19.95" customHeight="1" x14ac:dyDescent="0.3">
      <c r="O6" s="24" t="s">
        <v>91</v>
      </c>
      <c r="P6" s="25">
        <f>COUNTIF(D4:D4,"Web Development")</f>
        <v>0</v>
      </c>
    </row>
    <row r="7" spans="1:16" ht="19.95" customHeight="1" x14ac:dyDescent="0.3">
      <c r="O7" s="26" t="s">
        <v>94</v>
      </c>
      <c r="P7" s="27">
        <f>COUNTIF(D4:D4,"Mobile Development")</f>
        <v>0</v>
      </c>
    </row>
    <row r="8" spans="1:16" ht="19.95" customHeight="1" x14ac:dyDescent="0.3">
      <c r="O8" s="28" t="s">
        <v>76</v>
      </c>
      <c r="P8" s="29">
        <f>COUNTIF(D4:D4,"Data &amp; Analytics")</f>
        <v>0</v>
      </c>
    </row>
    <row r="9" spans="1:16" ht="19.95" customHeight="1" x14ac:dyDescent="0.3">
      <c r="O9" s="30" t="s">
        <v>99</v>
      </c>
      <c r="P9" s="31">
        <f>COUNTIF(D4:D4,"BPO / Customer Service")</f>
        <v>0</v>
      </c>
    </row>
    <row r="10" spans="1:16" ht="19.95" customHeight="1" x14ac:dyDescent="0.3">
      <c r="O10" s="32" t="s">
        <v>104</v>
      </c>
      <c r="P10" s="33">
        <f>COUNTIF(D4:D4,"Sales &amp; Business Dev")</f>
        <v>0</v>
      </c>
    </row>
    <row r="11" spans="1:16" ht="19.95" customHeight="1" x14ac:dyDescent="0.3">
      <c r="O11" s="35" t="s">
        <v>107</v>
      </c>
      <c r="P11" s="36">
        <f>COUNTIF(D4:D4,"Marketing &amp; Content")</f>
        <v>0</v>
      </c>
    </row>
    <row r="12" spans="1:16" ht="19.95" customHeight="1" x14ac:dyDescent="0.3">
      <c r="O12" s="37" t="s">
        <v>112</v>
      </c>
      <c r="P12" s="38">
        <f>COUNTIF(D4:D4,"HR &amp; Recruitment")</f>
        <v>1</v>
      </c>
    </row>
    <row r="13" spans="1:16" ht="19.95" customHeight="1" x14ac:dyDescent="0.3">
      <c r="O13" s="40" t="s">
        <v>117</v>
      </c>
      <c r="P13" s="41">
        <f>COUNTIF(D4:D4,"Finance &amp; Accounts")</f>
        <v>0</v>
      </c>
    </row>
    <row r="14" spans="1:16" ht="19.95" customHeight="1" x14ac:dyDescent="0.3">
      <c r="O14" s="42" t="s">
        <v>120</v>
      </c>
      <c r="P14" s="43">
        <f>COUNTIF(D4:D4,"Operations &amp; Logistics")</f>
        <v>0</v>
      </c>
    </row>
    <row r="15" spans="1:16" ht="19.95" customHeight="1" x14ac:dyDescent="0.3">
      <c r="O15" s="45" t="s">
        <v>122</v>
      </c>
      <c r="P15" s="46">
        <f>COUNTIF(D4:D4,"Management Trainee / Admin")</f>
        <v>0</v>
      </c>
    </row>
    <row r="16" spans="1:16" ht="19.95" customHeight="1" x14ac:dyDescent="0.3">
      <c r="O16" s="47" t="s">
        <v>125</v>
      </c>
      <c r="P16" s="48">
        <f>COUNTIF(D4:D4,"Cybersecurity")</f>
        <v>0</v>
      </c>
    </row>
    <row r="17" spans="15:16" ht="19.95" customHeight="1" x14ac:dyDescent="0.3">
      <c r="O17" s="49" t="s">
        <v>88</v>
      </c>
      <c r="P17" s="50">
        <f>COUNTIF(D4:D4,"General / Others")</f>
        <v>0</v>
      </c>
    </row>
  </sheetData>
  <autoFilter ref="A3:M4" xr:uid="{00000000-0009-0000-0000-00000C000000}"/>
  <mergeCells count="3">
    <mergeCell ref="O1:P1"/>
    <mergeCell ref="A2:M2"/>
    <mergeCell ref="A1:M1"/>
  </mergeCells>
  <dataValidations count="1">
    <dataValidation type="list" allowBlank="1" sqref="J4:J24" xr:uid="{00000000-0002-0000-0C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E6B4A"/>
  </sheetPr>
  <dimension ref="A1:P17"/>
  <sheetViews>
    <sheetView topLeftCell="H1"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24" customWidth="1"/>
    <col min="5" max="5" width="18" customWidth="1"/>
    <col min="6" max="6" width="14" customWidth="1"/>
    <col min="7" max="7" width="38" customWidth="1"/>
    <col min="8" max="8" width="12" customWidth="1"/>
    <col min="9" max="9" width="7" customWidth="1"/>
    <col min="10" max="10" width="16" customWidth="1"/>
    <col min="11" max="11" width="40" customWidth="1"/>
    <col min="12" max="12" width="14" customWidth="1"/>
    <col min="13" max="13" width="20" customWidth="1"/>
    <col min="15" max="15" width="26" customWidth="1"/>
    <col min="16" max="16" width="8" customWidth="1"/>
  </cols>
  <sheetData>
    <row r="1" spans="1:16" ht="36" customHeight="1" x14ac:dyDescent="0.3">
      <c r="A1" s="138" t="s">
        <v>289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O1" s="136" t="s">
        <v>57</v>
      </c>
      <c r="P1" s="101"/>
    </row>
    <row r="2" spans="1:16" ht="19.95" customHeight="1" x14ac:dyDescent="0.3">
      <c r="A2" s="137" t="s">
        <v>290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O2" s="7" t="s">
        <v>59</v>
      </c>
      <c r="P2" s="8">
        <f>COUNTIF(D4:D9,"Software Development")</f>
        <v>0</v>
      </c>
    </row>
    <row r="3" spans="1:16" ht="19.95" customHeight="1" x14ac:dyDescent="0.3">
      <c r="A3" s="96" t="s">
        <v>60</v>
      </c>
      <c r="B3" s="96" t="s">
        <v>61</v>
      </c>
      <c r="C3" s="96" t="s">
        <v>62</v>
      </c>
      <c r="D3" s="96" t="s">
        <v>63</v>
      </c>
      <c r="E3" s="96" t="s">
        <v>64</v>
      </c>
      <c r="F3" s="96" t="s">
        <v>65</v>
      </c>
      <c r="G3" s="96" t="s">
        <v>66</v>
      </c>
      <c r="H3" s="96" t="s">
        <v>67</v>
      </c>
      <c r="I3" s="96" t="s">
        <v>68</v>
      </c>
      <c r="J3" s="96" t="s">
        <v>69</v>
      </c>
      <c r="K3" s="96" t="s">
        <v>70</v>
      </c>
      <c r="L3" s="96" t="s">
        <v>71</v>
      </c>
      <c r="M3" s="96" t="s">
        <v>72</v>
      </c>
      <c r="O3" s="10" t="s">
        <v>73</v>
      </c>
      <c r="P3" s="11">
        <f>COUNTIF(D4:D9,"AI / ML / Data Science")</f>
        <v>0</v>
      </c>
    </row>
    <row r="4" spans="1:16" ht="19.95" customHeight="1" x14ac:dyDescent="0.3">
      <c r="A4" s="97">
        <v>1</v>
      </c>
      <c r="B4" s="98" t="s">
        <v>137</v>
      </c>
      <c r="C4" s="97" t="s">
        <v>138</v>
      </c>
      <c r="D4" s="57" t="s">
        <v>117</v>
      </c>
      <c r="E4" s="98" t="s">
        <v>139</v>
      </c>
      <c r="F4" s="98" t="s">
        <v>78</v>
      </c>
      <c r="G4" s="98" t="s">
        <v>140</v>
      </c>
      <c r="H4" s="98" t="s">
        <v>80</v>
      </c>
      <c r="I4" s="98" t="s">
        <v>136</v>
      </c>
      <c r="J4" s="98" t="s">
        <v>82</v>
      </c>
      <c r="K4" s="99" t="s">
        <v>83</v>
      </c>
      <c r="L4" s="98" t="s">
        <v>84</v>
      </c>
      <c r="M4" s="98"/>
      <c r="O4" s="16" t="s">
        <v>85</v>
      </c>
      <c r="P4" s="17">
        <f>COUNTIF(D4:D9,"QA / Testing / Automation")</f>
        <v>0</v>
      </c>
    </row>
    <row r="5" spans="1:16" ht="19.95" customHeight="1" x14ac:dyDescent="0.3">
      <c r="A5" s="18">
        <v>2</v>
      </c>
      <c r="B5" s="19" t="s">
        <v>183</v>
      </c>
      <c r="C5" s="18" t="s">
        <v>184</v>
      </c>
      <c r="D5" s="57" t="s">
        <v>117</v>
      </c>
      <c r="E5" s="19" t="s">
        <v>164</v>
      </c>
      <c r="F5" s="19" t="s">
        <v>165</v>
      </c>
      <c r="G5" s="19" t="s">
        <v>185</v>
      </c>
      <c r="H5" s="19" t="s">
        <v>80</v>
      </c>
      <c r="I5" s="19" t="s">
        <v>167</v>
      </c>
      <c r="J5" s="19" t="s">
        <v>82</v>
      </c>
      <c r="K5" s="21" t="s">
        <v>83</v>
      </c>
      <c r="L5" s="19" t="s">
        <v>168</v>
      </c>
      <c r="M5" s="19"/>
      <c r="O5" s="22" t="s">
        <v>89</v>
      </c>
      <c r="P5" s="23">
        <f>COUNTIF(D4:D9,"DevOps / Cloud / Security")</f>
        <v>0</v>
      </c>
    </row>
    <row r="6" spans="1:16" ht="19.95" customHeight="1" x14ac:dyDescent="0.3">
      <c r="A6" s="97">
        <v>3</v>
      </c>
      <c r="B6" s="98" t="s">
        <v>186</v>
      </c>
      <c r="C6" s="97" t="s">
        <v>187</v>
      </c>
      <c r="D6" s="57" t="s">
        <v>117</v>
      </c>
      <c r="E6" s="98" t="s">
        <v>164</v>
      </c>
      <c r="F6" s="98" t="s">
        <v>165</v>
      </c>
      <c r="G6" s="98" t="s">
        <v>185</v>
      </c>
      <c r="H6" s="98" t="s">
        <v>80</v>
      </c>
      <c r="I6" s="98" t="s">
        <v>167</v>
      </c>
      <c r="J6" s="98" t="s">
        <v>82</v>
      </c>
      <c r="K6" s="99" t="s">
        <v>83</v>
      </c>
      <c r="L6" s="98" t="s">
        <v>168</v>
      </c>
      <c r="M6" s="98"/>
      <c r="O6" s="24" t="s">
        <v>91</v>
      </c>
      <c r="P6" s="25">
        <f>COUNTIF(D4:D9,"Web Development")</f>
        <v>0</v>
      </c>
    </row>
    <row r="7" spans="1:16" ht="19.95" customHeight="1" x14ac:dyDescent="0.3">
      <c r="A7" s="18">
        <v>4</v>
      </c>
      <c r="B7" s="19" t="s">
        <v>188</v>
      </c>
      <c r="C7" s="18" t="s">
        <v>189</v>
      </c>
      <c r="D7" s="57" t="s">
        <v>117</v>
      </c>
      <c r="E7" s="19" t="s">
        <v>164</v>
      </c>
      <c r="F7" s="19" t="s">
        <v>165</v>
      </c>
      <c r="G7" s="19" t="s">
        <v>185</v>
      </c>
      <c r="H7" s="19" t="s">
        <v>80</v>
      </c>
      <c r="I7" s="19" t="s">
        <v>167</v>
      </c>
      <c r="J7" s="19" t="s">
        <v>82</v>
      </c>
      <c r="K7" s="21" t="s">
        <v>83</v>
      </c>
      <c r="L7" s="19" t="s">
        <v>168</v>
      </c>
      <c r="M7" s="19"/>
      <c r="O7" s="26" t="s">
        <v>94</v>
      </c>
      <c r="P7" s="27">
        <f>COUNTIF(D4:D9,"Mobile Development")</f>
        <v>0</v>
      </c>
    </row>
    <row r="8" spans="1:16" ht="19.95" customHeight="1" x14ac:dyDescent="0.3">
      <c r="A8" s="97">
        <v>5</v>
      </c>
      <c r="B8" s="98" t="s">
        <v>190</v>
      </c>
      <c r="C8" s="97" t="s">
        <v>191</v>
      </c>
      <c r="D8" s="57" t="s">
        <v>117</v>
      </c>
      <c r="E8" s="98" t="s">
        <v>164</v>
      </c>
      <c r="F8" s="98" t="s">
        <v>165</v>
      </c>
      <c r="G8" s="98" t="s">
        <v>185</v>
      </c>
      <c r="H8" s="98" t="s">
        <v>80</v>
      </c>
      <c r="I8" s="98" t="s">
        <v>167</v>
      </c>
      <c r="J8" s="98" t="s">
        <v>82</v>
      </c>
      <c r="K8" s="99" t="s">
        <v>83</v>
      </c>
      <c r="L8" s="98" t="s">
        <v>168</v>
      </c>
      <c r="M8" s="98"/>
      <c r="O8" s="28" t="s">
        <v>76</v>
      </c>
      <c r="P8" s="29">
        <f>COUNTIF(D4:D9,"Data &amp; Analytics")</f>
        <v>0</v>
      </c>
    </row>
    <row r="9" spans="1:16" ht="19.95" customHeight="1" x14ac:dyDescent="0.3">
      <c r="A9" s="18">
        <v>6</v>
      </c>
      <c r="B9" s="19" t="s">
        <v>192</v>
      </c>
      <c r="C9" s="18" t="s">
        <v>193</v>
      </c>
      <c r="D9" s="57" t="s">
        <v>117</v>
      </c>
      <c r="E9" s="19" t="s">
        <v>164</v>
      </c>
      <c r="F9" s="19" t="s">
        <v>165</v>
      </c>
      <c r="G9" s="19" t="s">
        <v>185</v>
      </c>
      <c r="H9" s="19" t="s">
        <v>80</v>
      </c>
      <c r="I9" s="19" t="s">
        <v>167</v>
      </c>
      <c r="J9" s="19" t="s">
        <v>82</v>
      </c>
      <c r="K9" s="21" t="s">
        <v>83</v>
      </c>
      <c r="L9" s="19" t="s">
        <v>168</v>
      </c>
      <c r="M9" s="19"/>
      <c r="O9" s="30" t="s">
        <v>99</v>
      </c>
      <c r="P9" s="31">
        <f>COUNTIF(D4:D9,"BPO / Customer Service")</f>
        <v>0</v>
      </c>
    </row>
    <row r="10" spans="1:16" ht="19.95" customHeight="1" x14ac:dyDescent="0.3">
      <c r="O10" s="32" t="s">
        <v>104</v>
      </c>
      <c r="P10" s="33">
        <f>COUNTIF(D4:D9,"Sales &amp; Business Dev")</f>
        <v>0</v>
      </c>
    </row>
    <row r="11" spans="1:16" ht="19.95" customHeight="1" x14ac:dyDescent="0.3">
      <c r="O11" s="35" t="s">
        <v>107</v>
      </c>
      <c r="P11" s="36">
        <f>COUNTIF(D4:D9,"Marketing &amp; Content")</f>
        <v>0</v>
      </c>
    </row>
    <row r="12" spans="1:16" ht="19.95" customHeight="1" x14ac:dyDescent="0.3">
      <c r="O12" s="37" t="s">
        <v>112</v>
      </c>
      <c r="P12" s="38">
        <f>COUNTIF(D4:D9,"HR &amp; Recruitment")</f>
        <v>0</v>
      </c>
    </row>
    <row r="13" spans="1:16" ht="19.95" customHeight="1" x14ac:dyDescent="0.3">
      <c r="O13" s="40" t="s">
        <v>117</v>
      </c>
      <c r="P13" s="41">
        <f>COUNTIF(D4:D9,"Finance &amp; Accounts")</f>
        <v>6</v>
      </c>
    </row>
    <row r="14" spans="1:16" ht="19.95" customHeight="1" x14ac:dyDescent="0.3">
      <c r="O14" s="42" t="s">
        <v>120</v>
      </c>
      <c r="P14" s="43">
        <f>COUNTIF(D4:D9,"Operations &amp; Logistics")</f>
        <v>0</v>
      </c>
    </row>
    <row r="15" spans="1:16" ht="19.95" customHeight="1" x14ac:dyDescent="0.3">
      <c r="O15" s="45" t="s">
        <v>122</v>
      </c>
      <c r="P15" s="46">
        <f>COUNTIF(D4:D9,"Management Trainee / Admin")</f>
        <v>0</v>
      </c>
    </row>
    <row r="16" spans="1:16" ht="19.95" customHeight="1" x14ac:dyDescent="0.3">
      <c r="O16" s="47" t="s">
        <v>125</v>
      </c>
      <c r="P16" s="48">
        <f>COUNTIF(D4:D9,"Cybersecurity")</f>
        <v>0</v>
      </c>
    </row>
    <row r="17" spans="15:16" ht="19.95" customHeight="1" x14ac:dyDescent="0.3">
      <c r="O17" s="49" t="s">
        <v>88</v>
      </c>
      <c r="P17" s="50">
        <f>COUNTIF(D4:D9,"General / Others")</f>
        <v>0</v>
      </c>
    </row>
  </sheetData>
  <autoFilter ref="A3:M9" xr:uid="{00000000-0009-0000-0000-00000D000000}"/>
  <mergeCells count="3">
    <mergeCell ref="O1:P1"/>
    <mergeCell ref="A2:M2"/>
    <mergeCell ref="A1:M1"/>
  </mergeCells>
  <dataValidations count="1">
    <dataValidation type="list" allowBlank="1" sqref="J4:J29" xr:uid="{00000000-0002-0000-0D00-000000000000}">
      <formula1>"Not Applied,Applied,Online Test,Interview Scheduled,Technical Round,HR Round,Offer Received,Rejected,On Hold"</formula1>
    </dataValidation>
  </dataValidations>
  <hyperlinks>
    <hyperlink ref="K4" r:id="rId1" xr:uid="{00000000-0004-0000-0D00-000000000000}"/>
    <hyperlink ref="K5" r:id="rId2" xr:uid="{00000000-0004-0000-0D00-000001000000}"/>
    <hyperlink ref="K6" r:id="rId3" xr:uid="{00000000-0004-0000-0D00-000002000000}"/>
    <hyperlink ref="K7" r:id="rId4" xr:uid="{00000000-0004-0000-0D00-000003000000}"/>
    <hyperlink ref="K8" r:id="rId5" xr:uid="{00000000-0004-0000-0D00-000004000000}"/>
    <hyperlink ref="K9" r:id="rId6" xr:uid="{00000000-0004-0000-0D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Dashboard</vt:lpstr>
      <vt:lpstr>⚡ Last 24h Jobs</vt:lpstr>
      <vt:lpstr>🕐 Last 36h Jobs</vt:lpstr>
      <vt:lpstr>🏢 Company Pages</vt:lpstr>
      <vt:lpstr>🌐 All Jobs</vt:lpstr>
      <vt:lpstr>💻 Software Dev</vt:lpstr>
      <vt:lpstr>🤖 AI and ML</vt:lpstr>
      <vt:lpstr>🌐 Web Dev</vt:lpstr>
      <vt:lpstr>📊 Data</vt:lpstr>
      <vt:lpstr>📞 BPO</vt:lpstr>
      <vt:lpstr>📈 Sales</vt:lpstr>
      <vt:lpstr>📣 Marketing</vt:lpstr>
      <vt:lpstr>👥 HR</vt:lpstr>
      <vt:lpstr>💰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Bhagavan c v</cp:lastModifiedBy>
  <dcterms:created xsi:type="dcterms:W3CDTF">2026-03-08T15:08:49Z</dcterms:created>
  <dcterms:modified xsi:type="dcterms:W3CDTF">2026-03-08T15:25:39Z</dcterms:modified>
</cp:coreProperties>
</file>